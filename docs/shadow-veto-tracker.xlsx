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&quot;€&quot;#,##0.00"/>
    <numFmt numFmtId="166" formatCode="[Color10]&quot;€&quot;#,##0;[Red](&quot;€&quot;#,##0)"/>
    <numFmt numFmtId="167" formatCode="dd-mm-yyyy"/>
    <numFmt numFmtId="168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00005C"/>
      <sz val="10"/>
    </font>
    <font>
      <name val="Arial"/>
      <b val="1"/>
      <color rgb="007A8699"/>
      <sz val="9"/>
    </font>
    <font>
      <name val="Arial"/>
      <b val="1"/>
      <color rgb="00FFFFFF"/>
      <sz val="9"/>
    </font>
    <font>
      <name val="Arial"/>
      <color rgb="00333333"/>
      <sz val="9"/>
    </font>
    <font>
      <name val="Arial"/>
      <b val="1"/>
      <color rgb="00333333"/>
      <sz val="9"/>
    </font>
    <font>
      <name val="Arial"/>
      <b val="1"/>
      <color rgb="00FFFFFF"/>
      <sz val="20"/>
    </font>
    <font>
      <name val="Arial"/>
      <color rgb="003DC7FF"/>
      <sz val="10"/>
    </font>
    <font>
      <name val="Arial"/>
      <b val="1"/>
      <color rgb="007A8699"/>
      <sz val="8"/>
    </font>
    <font>
      <name val="Arial"/>
      <b val="1"/>
      <color rgb="0000005C"/>
      <sz val="21"/>
    </font>
    <font>
      <name val="Arial"/>
      <b val="1"/>
      <color rgb="0000005C"/>
      <sz val="11"/>
    </font>
    <font>
      <name val="Arial"/>
      <b val="1"/>
      <color rgb="00FFFFFF"/>
      <sz val="10"/>
    </font>
    <font>
      <name val="Arial"/>
      <b val="1"/>
      <color rgb="0000005C"/>
      <sz val="9"/>
    </font>
  </fonts>
  <fills count="7">
    <fill>
      <patternFill/>
    </fill>
    <fill>
      <patternFill patternType="gray125"/>
    </fill>
    <fill>
      <patternFill patternType="solid">
        <fgColor rgb="0000005C"/>
      </patternFill>
    </fill>
    <fill>
      <patternFill patternType="solid">
        <fgColor rgb="00EFF3F9"/>
      </patternFill>
    </fill>
    <fill>
      <patternFill patternType="solid">
        <fgColor rgb="003DC7FF"/>
      </patternFill>
    </fill>
    <fill>
      <patternFill patternType="solid">
        <fgColor rgb="000073E6"/>
      </patternFill>
    </fill>
    <fill>
      <patternFill patternType="solid">
        <fgColor rgb="00F7F9FC"/>
      </patternFill>
    </fill>
  </fills>
  <borders count="11">
    <border>
      <left/>
      <right/>
      <top/>
      <bottom/>
      <diagonal/>
    </border>
    <border>
      <bottom style="thin">
        <color rgb="0000005C"/>
      </bottom>
    </border>
    <border>
      <left style="thin">
        <color rgb="0000005C"/>
      </left>
      <right style="thin">
        <color rgb="0000005C"/>
      </right>
      <top style="thin">
        <color rgb="0000005C"/>
      </top>
      <bottom style="thin">
        <color rgb="0000005C"/>
      </bottom>
    </border>
    <border>
      <left style="thin">
        <color rgb="00C9D3E0"/>
      </left>
      <right/>
      <top style="thin">
        <color rgb="00C9D3E0"/>
      </top>
      <bottom/>
    </border>
    <border>
      <left/>
      <right style="thin">
        <color rgb="00C9D3E0"/>
      </right>
      <top style="thin">
        <color rgb="00C9D3E0"/>
      </top>
      <bottom/>
    </border>
    <border>
      <left style="thin">
        <color rgb="00C9D3E0"/>
      </left>
      <right/>
      <top/>
      <bottom/>
    </border>
    <border>
      <left/>
      <right style="thin">
        <color rgb="00C9D3E0"/>
      </right>
      <top/>
      <bottom/>
    </border>
    <border>
      <left style="thin">
        <color rgb="00C9D3E0"/>
      </left>
      <right/>
      <top/>
      <bottom style="thin">
        <color rgb="00C9D3E0"/>
      </bottom>
    </border>
    <border>
      <left/>
      <right style="thin">
        <color rgb="00C9D3E0"/>
      </right>
      <top/>
      <bottom style="thin">
        <color rgb="00C9D3E0"/>
      </bottom>
    </border>
    <border>
      <bottom style="medium">
        <color rgb="000073E6"/>
      </bottom>
    </border>
    <border>
      <top style="thin">
        <color rgb="0000005C"/>
      </top>
      <bottom style="double">
        <color rgb="0000005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7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1" fillId="4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4" pivotButton="0" quotePrefix="0" xfId="0"/>
    <xf numFmtId="0" fontId="8" fillId="6" borderId="5" applyAlignment="1" pivotButton="0" quotePrefix="0" xfId="0">
      <alignment horizontal="center" vertical="center"/>
    </xf>
    <xf numFmtId="0" fontId="0" fillId="6" borderId="6" pivotButton="0" quotePrefix="0" xfId="0"/>
    <xf numFmtId="1" fontId="9" fillId="6" borderId="5" applyAlignment="1" pivotButton="0" quotePrefix="0" xfId="0">
      <alignment horizontal="center" vertical="center"/>
    </xf>
    <xf numFmtId="168" fontId="9" fillId="6" borderId="5" applyAlignment="1" pivotButton="0" quotePrefix="0" xfId="0">
      <alignment horizontal="center" vertical="center"/>
    </xf>
    <xf numFmtId="166" fontId="9" fillId="6" borderId="5" applyAlignment="1" pivotButton="0" quotePrefix="0" xfId="0">
      <alignment horizontal="center" vertical="center"/>
    </xf>
    <xf numFmtId="2" fontId="9" fillId="6" borderId="5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0" fillId="6" borderId="8" pivotButton="0" quotePrefix="0" xfId="0"/>
    <xf numFmtId="0" fontId="10" fillId="0" borderId="9" pivotButton="0" quotePrefix="0" xfId="0"/>
    <xf numFmtId="0" fontId="0" fillId="0" borderId="9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1" fontId="0" fillId="3" borderId="0" applyAlignment="1" pivotButton="0" quotePrefix="0" xfId="0">
      <alignment horizontal="center" vertical="center"/>
    </xf>
    <xf numFmtId="168" fontId="0" fillId="3" borderId="0" applyAlignment="1" pivotButton="0" quotePrefix="0" xfId="0">
      <alignment horizontal="center" vertical="center"/>
    </xf>
    <xf numFmtId="166" fontId="0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1" fontId="12" fillId="0" borderId="10" applyAlignment="1" pivotButton="0" quotePrefix="0" xfId="0">
      <alignment horizontal="center" vertical="center"/>
    </xf>
    <xf numFmtId="168" fontId="12" fillId="0" borderId="10" applyAlignment="1" pivotButton="0" quotePrefix="0" xfId="0">
      <alignment horizontal="center" vertical="center"/>
    </xf>
    <xf numFmtId="166" fontId="12" fillId="0" borderId="1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7" fontId="4" fillId="0" borderId="0" applyAlignment="1" pivotButton="0" quotePrefix="0" xfId="0">
      <alignment horizontal="left" vertical="center"/>
    </xf>
    <xf numFmtId="2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0" fillId="3" borderId="0" pivotButton="0" quotePrefix="0" xfId="0"/>
    <xf numFmtId="167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167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Precisie per veto-reden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'Dashboard'!$B$15:$B$19</f>
            </numRef>
          </cat>
          <val>
            <numRef>
              <f>'Dashboard'!$E$15:$E$19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€-impact van opvolgen per reden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'Dashboard'!$B$15:$B$19</f>
            </numRef>
          </cat>
          <val>
            <numRef>
              <f>'Dashboard'!$F$15:$F$19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tracker</author>
  </authors>
  <commentList>
    <comment ref="E1" authorId="0" shapeId="0">
      <text>
        <t>Kies de aard van de veto. Mean-reversion = de LLM keert je momentum-entry om. Data-integriteit/Liquiditeit/Volatiliteit = mechanische redenen die je model niet dekt.</t>
      </text>
    </comment>
    <comment ref="K1" authorId="0" shapeId="0">
      <text>
        <t>Laat de gevetote trade in shadow/paper DOORLOPEN. Vul TP of SL zodra hij geraakt is; Open = nog niet afgewikkeld. Zonder counterfactual is er geen precisie meetbaar.</t>
      </text>
    </comment>
    <comment ref="L1" authorId="0" shapeId="0">
      <text>
        <t>Werkelijke fictieve P&amp;L na fees: winst positief, verlies negatief. Dit voedt de euro-impact, de echte beslismetric.</t>
      </text>
    </comment>
    <comment ref="A2" authorId="0" shapeId="0">
      <text>
        <t>Voorbeeldrij. Verwijder of overschrijf voor echt gebruik.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396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23</row>
      <rowOff>0</rowOff>
    </from>
    <ext cx="39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L20"/>
  <sheetViews>
    <sheetView showGridLines="0" zoomScale="9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2.5" customWidth="1" min="3" max="3"/>
    <col width="9" customWidth="1" min="4" max="4"/>
    <col width="12.5" customWidth="1" min="5" max="5"/>
    <col width="17" customWidth="1" min="6" max="6"/>
    <col width="9" customWidth="1" min="7" max="7"/>
    <col width="12.5" customWidth="1" min="8" max="8"/>
    <col width="12.5" customWidth="1" min="9" max="9"/>
    <col width="9" customWidth="1" min="10" max="10"/>
    <col width="12.5" customWidth="1" min="11" max="11"/>
    <col width="12.5" customWidth="1" min="12" max="12"/>
  </cols>
  <sheetData>
    <row r="1" ht="22" customHeight="1">
      <c r="B1" s="1" t="inlineStr">
        <is>
          <t>Shadow-veto tracker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8" customHeight="1"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6" customHeight="1">
      <c r="B3" s="3" t="inlineStr">
        <is>
          <t>Trade-platform  ·  nieuwe LLM-config  ·  doel: 20 afgewikkelde vetoes voor go/no-go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5">
      <c r="B5" s="4" t="inlineStr">
        <is>
          <t>VETO-CATEGORIE</t>
        </is>
      </c>
    </row>
    <row r="6">
      <c r="B6" s="5" t="inlineStr">
        <is>
          <t>Alle</t>
        </is>
      </c>
    </row>
    <row r="8" ht="4" customHeight="1">
      <c r="B8" s="6" t="n"/>
      <c r="C8" s="7" t="n"/>
      <c r="E8" s="6" t="n"/>
      <c r="F8" s="7" t="n"/>
      <c r="H8" s="6" t="n"/>
      <c r="I8" s="7" t="n"/>
      <c r="K8" s="6" t="n"/>
      <c r="L8" s="7" t="n"/>
    </row>
    <row r="9">
      <c r="B9" s="8" t="inlineStr">
        <is>
          <t>VETOES GELOGD</t>
        </is>
      </c>
      <c r="C9" s="9" t="n"/>
      <c r="E9" s="8" t="inlineStr">
        <is>
          <t>VETO-PRECISIE</t>
        </is>
      </c>
      <c r="F9" s="9" t="n"/>
      <c r="H9" s="8" t="inlineStr">
        <is>
          <t>€-WAARDE VETOES OPVOLGEN</t>
        </is>
      </c>
      <c r="I9" s="9" t="n"/>
      <c r="K9" s="8" t="inlineStr">
        <is>
          <t>GEM. CONF ONTERECHTE VETOES</t>
        </is>
      </c>
      <c r="L9" s="9" t="n"/>
    </row>
    <row r="10" ht="30" customHeight="1">
      <c r="B10" s="10">
        <f>COUNTIFS(Data!$E$2:$E$300,IF($B$6="Alle","*",$B$6))</f>
        <v/>
      </c>
      <c r="C10" s="9" t="n"/>
      <c r="E10" s="11">
        <f>IFERROR(COUNTIFS(Data!$E$2:$E$300,IF($B$6="Alle","*",$B$6),Data!$M$2:$M$300,"Terecht")/(COUNTIFS(Data!$E$2:$E$300,IF($B$6="Alle","*",$B$6),Data!$K$2:$K$300,"TP")+COUNTIFS(Data!$E$2:$E$300,IF($B$6="Alle","*",$B$6),Data!$K$2:$K$300,"SL")),0)</f>
        <v/>
      </c>
      <c r="F10" s="9" t="n"/>
      <c r="H10" s="12">
        <f>-(SUMIFS(Data!$L$2:$L$300,Data!$E$2:$E$300,IF($B$6="Alle","*",$B$6),Data!$K$2:$K$300,"TP")+SUMIFS(Data!$L$2:$L$300,Data!$E$2:$E$300,IF($B$6="Alle","*",$B$6),Data!$K$2:$K$300,"SL"))</f>
        <v/>
      </c>
      <c r="I10" s="9" t="n"/>
      <c r="K10" s="13">
        <f>IFERROR(AVERAGEIFS(Data!$G$2:$G$300,Data!$E$2:$E$300,IF($B$6="Alle","*",$B$6),Data!$M$2:$M$300,"Onterecht"),0)</f>
        <v/>
      </c>
      <c r="L10" s="9" t="n"/>
    </row>
    <row r="11">
      <c r="B11" s="14">
        <f>CONCATENATE((COUNTIFS(Data!$E$2:$E$300,IF($B$6="Alle","*",$B$6),Data!$K$2:$K$300,"TP")+COUNTIFS(Data!$E$2:$E$300,IF($B$6="Alle","*",$B$6),Data!$K$2:$K$300,"SL"))," afgewikkeld / 20 doel")</f>
        <v/>
      </c>
      <c r="C11" s="15" t="n"/>
      <c r="E11" s="14">
        <f>CONCATENATE("95% marge ± ",TEXT(IFERROR(1.96*SQRT(IFERROR(COUNTIFS(Data!$E$2:$E$300,IF($B$6="Alle","*",$B$6),Data!$M$2:$M$300,"Terecht")/(COUNTIFS(Data!$E$2:$E$300,IF($B$6="Alle","*",$B$6),Data!$K$2:$K$300,"TP")+COUNTIFS(Data!$E$2:$E$300,IF($B$6="Alle","*",$B$6),Data!$K$2:$K$300,"SL")),0)*(1-IFERROR(COUNTIFS(Data!$E$2:$E$300,IF($B$6="Alle","*",$B$6),Data!$M$2:$M$300,"Terecht")/(COUNTIFS(Data!$E$2:$E$300,IF($B$6="Alle","*",$B$6),Data!$K$2:$K$300,"TP")+COUNTIFS(Data!$E$2:$E$300,IF($B$6="Alle","*",$B$6),Data!$K$2:$K$300,"SL")),0))/(COUNTIFS(Data!$E$2:$E$300,IF($B$6="Alle","*",$B$6),Data!$K$2:$K$300,"TP")+COUNTIFS(Data!$E$2:$E$300,IF($B$6="Alle","*",$B$6),Data!$K$2:$K$300,"SL"))),0),"0.0%"))</f>
        <v/>
      </c>
      <c r="F11" s="15" t="n"/>
      <c r="H11" s="14">
        <f>CONCATENATE("over ",(COUNTIFS(Data!$E$2:$E$300,IF($B$6="Alle","*",$B$6),Data!$K$2:$K$300,"TP")+COUNTIFS(Data!$E$2:$E$300,IF($B$6="Alle","*",$B$6),Data!$K$2:$K$300,"SL"))," afgewikkeld")</f>
        <v/>
      </c>
      <c r="I11" s="15" t="n"/>
      <c r="K11" s="14">
        <f>CONCATENATE("conf terecht: ",TEXT(IFERROR(AVERAGEIFS(Data!$G$2:$G$300,Data!$E$2:$E$300,IF($B$6="Alle","*",$B$6),Data!$M$2:$M$300,"Terecht"),0),"0.00"))</f>
        <v/>
      </c>
      <c r="L11" s="15" t="n"/>
    </row>
    <row r="13" ht="18" customHeight="1">
      <c r="B13" s="16" t="inlineStr">
        <is>
          <t>DIAGNOSE PER VETO-REDEN</t>
        </is>
      </c>
      <c r="C13" s="17" t="n"/>
      <c r="D13" s="17" t="n"/>
      <c r="E13" s="17" t="n"/>
      <c r="F13" s="17" t="n"/>
    </row>
    <row r="14">
      <c r="B14" s="18" t="inlineStr">
        <is>
          <t>Veto-categorie</t>
        </is>
      </c>
      <c r="C14" s="19" t="inlineStr">
        <is>
          <t>Afgew.</t>
        </is>
      </c>
      <c r="D14" s="19" t="inlineStr">
        <is>
          <t>Terecht</t>
        </is>
      </c>
      <c r="E14" s="19" t="inlineStr">
        <is>
          <t>Precisie</t>
        </is>
      </c>
      <c r="F14" s="19" t="inlineStr">
        <is>
          <t>€-impact opvolgen</t>
        </is>
      </c>
    </row>
    <row r="15">
      <c r="B15" s="20" t="inlineStr">
        <is>
          <t>Mean-reversion</t>
        </is>
      </c>
      <c r="C15" s="21">
        <f>(COUNTIFS(Data!$E$2:$E$300,$B15,Data!$K$2:$K$300,"TP")+COUNTIFS(Data!$E$2:$E$300,$B15,Data!$K$2:$K$300,"SL"))</f>
        <v/>
      </c>
      <c r="D15" s="21">
        <f>COUNTIFS(Data!$E$2:$E$300,$B15,Data!$M$2:$M$300,"Terecht")</f>
        <v/>
      </c>
      <c r="E15" s="22">
        <f>IFERROR(COUNTIFS(Data!$E$2:$E$300,$B15,Data!$M$2:$M$300,"Terecht")/(COUNTIFS(Data!$E$2:$E$300,$B15,Data!$K$2:$K$300,"TP")+COUNTIFS(Data!$E$2:$E$300,$B15,Data!$K$2:$K$300,"SL")),0)</f>
        <v/>
      </c>
      <c r="F15" s="23">
        <f>-(SUMIFS(Data!$L$2:$L$300,Data!$E$2:$E$300,$B15,Data!$K$2:$K$300,"TP")+SUMIFS(Data!$L$2:$L$300,Data!$E$2:$E$300,$B15,Data!$K$2:$K$300,"SL"))</f>
        <v/>
      </c>
    </row>
    <row r="16">
      <c r="B16" s="24" t="inlineStr">
        <is>
          <t>Data-integriteit</t>
        </is>
      </c>
      <c r="C16" s="25">
        <f>(COUNTIFS(Data!$E$2:$E$300,$B16,Data!$K$2:$K$300,"TP")+COUNTIFS(Data!$E$2:$E$300,$B16,Data!$K$2:$K$300,"SL"))</f>
        <v/>
      </c>
      <c r="D16" s="25">
        <f>COUNTIFS(Data!$E$2:$E$300,$B16,Data!$M$2:$M$300,"Terecht")</f>
        <v/>
      </c>
      <c r="E16" s="26">
        <f>IFERROR(COUNTIFS(Data!$E$2:$E$300,$B16,Data!$M$2:$M$300,"Terecht")/(COUNTIFS(Data!$E$2:$E$300,$B16,Data!$K$2:$K$300,"TP")+COUNTIFS(Data!$E$2:$E$300,$B16,Data!$K$2:$K$300,"SL")),0)</f>
        <v/>
      </c>
      <c r="F16" s="27">
        <f>-(SUMIFS(Data!$L$2:$L$300,Data!$E$2:$E$300,$B16,Data!$K$2:$K$300,"TP")+SUMIFS(Data!$L$2:$L$300,Data!$E$2:$E$300,$B16,Data!$K$2:$K$300,"SL"))</f>
        <v/>
      </c>
    </row>
    <row r="17">
      <c r="B17" s="28" t="inlineStr">
        <is>
          <t>Liquiditeit/Spread</t>
        </is>
      </c>
      <c r="C17" s="21">
        <f>(COUNTIFS(Data!$E$2:$E$300,$B17,Data!$K$2:$K$300,"TP")+COUNTIFS(Data!$E$2:$E$300,$B17,Data!$K$2:$K$300,"SL"))</f>
        <v/>
      </c>
      <c r="D17" s="21">
        <f>COUNTIFS(Data!$E$2:$E$300,$B17,Data!$M$2:$M$300,"Terecht")</f>
        <v/>
      </c>
      <c r="E17" s="22">
        <f>IFERROR(COUNTIFS(Data!$E$2:$E$300,$B17,Data!$M$2:$M$300,"Terecht")/(COUNTIFS(Data!$E$2:$E$300,$B17,Data!$K$2:$K$300,"TP")+COUNTIFS(Data!$E$2:$E$300,$B17,Data!$K$2:$K$300,"SL")),0)</f>
        <v/>
      </c>
      <c r="F17" s="23">
        <f>-(SUMIFS(Data!$L$2:$L$300,Data!$E$2:$E$300,$B17,Data!$K$2:$K$300,"TP")+SUMIFS(Data!$L$2:$L$300,Data!$E$2:$E$300,$B17,Data!$K$2:$K$300,"SL"))</f>
        <v/>
      </c>
    </row>
    <row r="18">
      <c r="B18" s="24" t="inlineStr">
        <is>
          <t>Volatiliteit</t>
        </is>
      </c>
      <c r="C18" s="25">
        <f>(COUNTIFS(Data!$E$2:$E$300,$B18,Data!$K$2:$K$300,"TP")+COUNTIFS(Data!$E$2:$E$300,$B18,Data!$K$2:$K$300,"SL"))</f>
        <v/>
      </c>
      <c r="D18" s="25">
        <f>COUNTIFS(Data!$E$2:$E$300,$B18,Data!$M$2:$M$300,"Terecht")</f>
        <v/>
      </c>
      <c r="E18" s="26">
        <f>IFERROR(COUNTIFS(Data!$E$2:$E$300,$B18,Data!$M$2:$M$300,"Terecht")/(COUNTIFS(Data!$E$2:$E$300,$B18,Data!$K$2:$K$300,"TP")+COUNTIFS(Data!$E$2:$E$300,$B18,Data!$K$2:$K$300,"SL")),0)</f>
        <v/>
      </c>
      <c r="F18" s="27">
        <f>-(SUMIFS(Data!$L$2:$L$300,Data!$E$2:$E$300,$B18,Data!$K$2:$K$300,"TP")+SUMIFS(Data!$L$2:$L$300,Data!$E$2:$E$300,$B18,Data!$K$2:$K$300,"SL"))</f>
        <v/>
      </c>
    </row>
    <row r="19">
      <c r="B19" s="28" t="inlineStr">
        <is>
          <t>Overig</t>
        </is>
      </c>
      <c r="C19" s="21">
        <f>(COUNTIFS(Data!$E$2:$E$300,$B19,Data!$K$2:$K$300,"TP")+COUNTIFS(Data!$E$2:$E$300,$B19,Data!$K$2:$K$300,"SL"))</f>
        <v/>
      </c>
      <c r="D19" s="21">
        <f>COUNTIFS(Data!$E$2:$E$300,$B19,Data!$M$2:$M$300,"Terecht")</f>
        <v/>
      </c>
      <c r="E19" s="22">
        <f>IFERROR(COUNTIFS(Data!$E$2:$E$300,$B19,Data!$M$2:$M$300,"Terecht")/(COUNTIFS(Data!$E$2:$E$300,$B19,Data!$K$2:$K$300,"TP")+COUNTIFS(Data!$E$2:$E$300,$B19,Data!$K$2:$K$300,"SL")),0)</f>
        <v/>
      </c>
      <c r="F19" s="23">
        <f>-(SUMIFS(Data!$L$2:$L$300,Data!$E$2:$E$300,$B19,Data!$K$2:$K$300,"TP")+SUMIFS(Data!$L$2:$L$300,Data!$E$2:$E$300,$B19,Data!$K$2:$K$300,"SL"))</f>
        <v/>
      </c>
    </row>
    <row r="20">
      <c r="B20" s="29" t="inlineStr">
        <is>
          <t>Totaal</t>
        </is>
      </c>
      <c r="C20" s="30">
        <f>(COUNTIF(Data!$K$2:$K$300,"TP")+COUNTIF(Data!$K$2:$K$300,"SL"))</f>
        <v/>
      </c>
      <c r="D20" s="30">
        <f>COUNTIF(Data!$M$2:$M$300,"Terecht")</f>
        <v/>
      </c>
      <c r="E20" s="31">
        <f>IFERROR(COUNTIF(Data!$M$2:$M$300,"Terecht")/(COUNTIF(Data!$K$2:$K$300,"TP")+COUNTIF(Data!$K$2:$K$300,"SL")),0)</f>
        <v/>
      </c>
      <c r="F20" s="32">
        <f>-(SUMIF(Data!$K$2:$K$300,"TP",Data!$L$2:$L$300)+SUMIF(Data!$K$2:$K$300,"SL",Data!$L$2:$L$300))</f>
        <v/>
      </c>
    </row>
  </sheetData>
  <mergeCells count="20">
    <mergeCell ref="H10:I10"/>
    <mergeCell ref="B3:L3"/>
    <mergeCell ref="K9:L9"/>
    <mergeCell ref="B1:L2"/>
    <mergeCell ref="H9:I9"/>
    <mergeCell ref="E8:F8"/>
    <mergeCell ref="K11:L11"/>
    <mergeCell ref="B11:C11"/>
    <mergeCell ref="E10:F10"/>
    <mergeCell ref="E9:F9"/>
    <mergeCell ref="B8:C8"/>
    <mergeCell ref="B13:F13"/>
    <mergeCell ref="H11:I11"/>
    <mergeCell ref="K8:L8"/>
    <mergeCell ref="B10:C10"/>
    <mergeCell ref="E11:F11"/>
    <mergeCell ref="B9:C9"/>
    <mergeCell ref="B6:C6"/>
    <mergeCell ref="K10:L10"/>
    <mergeCell ref="H8:I8"/>
  </mergeCells>
  <dataValidations count="1">
    <dataValidation sqref="B6" showDropDown="0" showInputMessage="0" showErrorMessage="0" allowBlank="0" type="list">
      <formula1>=Settings!$E$2:$E$7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sheetData>
    <row r="1">
      <c r="A1" s="33" t="inlineStr">
        <is>
          <t>Keuzelijsten</t>
        </is>
      </c>
      <c r="B1" s="34" t="inlineStr">
        <is>
          <t>Uitkomst</t>
        </is>
      </c>
      <c r="C1" s="34" t="inlineStr">
        <is>
          <t>Veto-categorie</t>
        </is>
      </c>
      <c r="E1" s="34" t="inlineStr">
        <is>
          <t>Filter</t>
        </is>
      </c>
    </row>
    <row r="2">
      <c r="B2" t="inlineStr">
        <is>
          <t>TP</t>
        </is>
      </c>
      <c r="C2" t="inlineStr">
        <is>
          <t>Mean-reversion</t>
        </is>
      </c>
      <c r="E2" t="inlineStr">
        <is>
          <t>Alle</t>
        </is>
      </c>
    </row>
    <row r="3">
      <c r="B3" t="inlineStr">
        <is>
          <t>SL</t>
        </is>
      </c>
      <c r="C3" t="inlineStr">
        <is>
          <t>Data-integriteit</t>
        </is>
      </c>
      <c r="E3" t="inlineStr">
        <is>
          <t>Mean-reversion</t>
        </is>
      </c>
    </row>
    <row r="4">
      <c r="B4" t="inlineStr">
        <is>
          <t>Open</t>
        </is>
      </c>
      <c r="C4" t="inlineStr">
        <is>
          <t>Liquiditeit/Spread</t>
        </is>
      </c>
      <c r="E4" t="inlineStr">
        <is>
          <t>Data-integriteit</t>
        </is>
      </c>
    </row>
    <row r="5">
      <c r="C5" t="inlineStr">
        <is>
          <t>Volatiliteit</t>
        </is>
      </c>
      <c r="E5" t="inlineStr">
        <is>
          <t>Liquiditeit/Spread</t>
        </is>
      </c>
    </row>
    <row r="6">
      <c r="C6" t="inlineStr">
        <is>
          <t>Overig</t>
        </is>
      </c>
      <c r="E6" t="inlineStr">
        <is>
          <t>Volatiliteit</t>
        </is>
      </c>
    </row>
    <row r="7">
      <c r="E7" t="inlineStr">
        <is>
          <t>Overig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26" customWidth="1" min="4" max="4"/>
    <col width="18" customWidth="1" min="5" max="5"/>
    <col width="30" customWidth="1" min="6" max="6"/>
    <col width="8" customWidth="1" min="7" max="7"/>
    <col width="11" customWidth="1" min="8" max="8"/>
    <col width="11" customWidth="1" min="9" max="9"/>
    <col width="11" customWidth="1" min="10" max="10"/>
    <col width="10" customWidth="1" min="11" max="11"/>
    <col width="16" customWidth="1" min="12" max="12"/>
    <col width="13" customWidth="1" min="13" max="13"/>
    <col width="26" customWidth="1" min="14" max="14"/>
  </cols>
  <sheetData>
    <row r="1" ht="26" customHeight="1">
      <c r="A1" s="35" t="inlineStr">
        <is>
          <t>ID</t>
        </is>
      </c>
      <c r="B1" s="35" t="inlineStr">
        <is>
          <t>Datum</t>
        </is>
      </c>
      <c r="C1" s="35" t="inlineStr">
        <is>
          <t>Paar</t>
        </is>
      </c>
      <c r="D1" s="35" t="inlineStr">
        <is>
          <t>Entry-signaal</t>
        </is>
      </c>
      <c r="E1" s="35" t="inlineStr">
        <is>
          <t>Veto-categorie</t>
        </is>
      </c>
      <c r="F1" s="35" t="inlineStr">
        <is>
          <t>Veto-reden (detail)</t>
        </is>
      </c>
      <c r="G1" s="35" t="inlineStr">
        <is>
          <t>LLM-conf</t>
        </is>
      </c>
      <c r="H1" s="35" t="inlineStr">
        <is>
          <t>Entry €</t>
        </is>
      </c>
      <c r="I1" s="35" t="inlineStr">
        <is>
          <t>TP €</t>
        </is>
      </c>
      <c r="J1" s="35" t="inlineStr">
        <is>
          <t>SL €</t>
        </is>
      </c>
      <c r="K1" s="35" t="inlineStr">
        <is>
          <t>Uitkomst</t>
        </is>
      </c>
      <c r="L1" s="35" t="inlineStr">
        <is>
          <t>Fictieve P&amp;L € (na fees)</t>
        </is>
      </c>
      <c r="M1" s="35" t="inlineStr">
        <is>
          <t>Veto-oordeel</t>
        </is>
      </c>
      <c r="N1" s="35" t="inlineStr">
        <is>
          <t>Opmerking</t>
        </is>
      </c>
    </row>
    <row r="2">
      <c r="A2" s="28" t="inlineStr">
        <is>
          <t>VB-01</t>
        </is>
      </c>
      <c r="B2" s="36" t="n">
        <v>46221</v>
      </c>
      <c r="C2" s="28" t="inlineStr">
        <is>
          <t>ETH-EUR</t>
        </is>
      </c>
      <c r="D2" s="28" t="inlineStr">
        <is>
          <t>EMA-up + verse MACD-flip (momentum)</t>
        </is>
      </c>
      <c r="E2" s="28" t="inlineStr">
        <is>
          <t>Mean-reversion</t>
        </is>
      </c>
      <c r="F2" s="28" t="inlineStr">
        <is>
          <t>3% boven Bollinger, 24h +1,35%</t>
        </is>
      </c>
      <c r="G2" s="37" t="n">
        <v>0.7</v>
      </c>
      <c r="H2" s="38" t="n">
        <v>2450</v>
      </c>
      <c r="I2" s="38" t="n">
        <v>2560</v>
      </c>
      <c r="J2" s="38" t="n">
        <v>2400</v>
      </c>
      <c r="K2" s="28" t="inlineStr">
        <is>
          <t>TP</t>
        </is>
      </c>
      <c r="L2" s="39" t="n">
        <v>42</v>
      </c>
      <c r="M2" s="40">
        <f>IF(K2="SL","Terecht",IF(K2="TP","Onterecht",""))</f>
        <v/>
      </c>
      <c r="N2" s="28" t="inlineStr">
        <is>
          <t>Voorbeeld: LLM vetode, trade liep door naar TP -&gt; onterecht</t>
        </is>
      </c>
    </row>
    <row r="3">
      <c r="A3" s="41" t="n"/>
      <c r="B3" s="42" t="n"/>
      <c r="C3" s="41" t="n"/>
      <c r="D3" s="41" t="n"/>
      <c r="E3" s="41" t="n"/>
      <c r="F3" s="41" t="n"/>
      <c r="G3" s="43" t="n"/>
      <c r="H3" s="44" t="n"/>
      <c r="I3" s="44" t="n"/>
      <c r="J3" s="44" t="n"/>
      <c r="K3" s="41" t="n"/>
      <c r="L3" s="45" t="n"/>
      <c r="M3" s="46">
        <f>IF(K3="SL","Terecht",IF(K3="TP","Onterecht",""))</f>
        <v/>
      </c>
      <c r="N3" s="41" t="n"/>
    </row>
    <row r="4">
      <c r="B4" s="47" t="n"/>
      <c r="G4" s="48" t="n"/>
      <c r="H4" s="49" t="n"/>
      <c r="I4" s="49" t="n"/>
      <c r="J4" s="49" t="n"/>
      <c r="L4" s="50" t="n"/>
      <c r="M4" s="40">
        <f>IF(K4="SL","Terecht",IF(K4="TP","Onterecht",""))</f>
        <v/>
      </c>
    </row>
    <row r="5">
      <c r="A5" s="41" t="n"/>
      <c r="B5" s="42" t="n"/>
      <c r="C5" s="41" t="n"/>
      <c r="D5" s="41" t="n"/>
      <c r="E5" s="41" t="n"/>
      <c r="F5" s="41" t="n"/>
      <c r="G5" s="43" t="n"/>
      <c r="H5" s="44" t="n"/>
      <c r="I5" s="44" t="n"/>
      <c r="J5" s="44" t="n"/>
      <c r="K5" s="41" t="n"/>
      <c r="L5" s="45" t="n"/>
      <c r="M5" s="46">
        <f>IF(K5="SL","Terecht",IF(K5="TP","Onterecht",""))</f>
        <v/>
      </c>
      <c r="N5" s="41" t="n"/>
    </row>
    <row r="6">
      <c r="B6" s="47" t="n"/>
      <c r="G6" s="48" t="n"/>
      <c r="H6" s="49" t="n"/>
      <c r="I6" s="49" t="n"/>
      <c r="J6" s="49" t="n"/>
      <c r="L6" s="50" t="n"/>
      <c r="M6" s="40">
        <f>IF(K6="SL","Terecht",IF(K6="TP","Onterecht",""))</f>
        <v/>
      </c>
    </row>
    <row r="7">
      <c r="A7" s="41" t="n"/>
      <c r="B7" s="42" t="n"/>
      <c r="C7" s="41" t="n"/>
      <c r="D7" s="41" t="n"/>
      <c r="E7" s="41" t="n"/>
      <c r="F7" s="41" t="n"/>
      <c r="G7" s="43" t="n"/>
      <c r="H7" s="44" t="n"/>
      <c r="I7" s="44" t="n"/>
      <c r="J7" s="44" t="n"/>
      <c r="K7" s="41" t="n"/>
      <c r="L7" s="45" t="n"/>
      <c r="M7" s="46">
        <f>IF(K7="SL","Terecht",IF(K7="TP","Onterecht",""))</f>
        <v/>
      </c>
      <c r="N7" s="41" t="n"/>
    </row>
    <row r="8">
      <c r="B8" s="47" t="n"/>
      <c r="G8" s="48" t="n"/>
      <c r="H8" s="49" t="n"/>
      <c r="I8" s="49" t="n"/>
      <c r="J8" s="49" t="n"/>
      <c r="L8" s="50" t="n"/>
      <c r="M8" s="40">
        <f>IF(K8="SL","Terecht",IF(K8="TP","Onterecht",""))</f>
        <v/>
      </c>
    </row>
    <row r="9">
      <c r="A9" s="41" t="n"/>
      <c r="B9" s="42" t="n"/>
      <c r="C9" s="41" t="n"/>
      <c r="D9" s="41" t="n"/>
      <c r="E9" s="41" t="n"/>
      <c r="F9" s="41" t="n"/>
      <c r="G9" s="43" t="n"/>
      <c r="H9" s="44" t="n"/>
      <c r="I9" s="44" t="n"/>
      <c r="J9" s="44" t="n"/>
      <c r="K9" s="41" t="n"/>
      <c r="L9" s="45" t="n"/>
      <c r="M9" s="46">
        <f>IF(K9="SL","Terecht",IF(K9="TP","Onterecht",""))</f>
        <v/>
      </c>
      <c r="N9" s="41" t="n"/>
    </row>
    <row r="10">
      <c r="B10" s="47" t="n"/>
      <c r="G10" s="48" t="n"/>
      <c r="H10" s="49" t="n"/>
      <c r="I10" s="49" t="n"/>
      <c r="J10" s="49" t="n"/>
      <c r="L10" s="50" t="n"/>
      <c r="M10" s="40">
        <f>IF(K10="SL","Terecht",IF(K10="TP","Onterecht",""))</f>
        <v/>
      </c>
    </row>
    <row r="11">
      <c r="A11" s="41" t="n"/>
      <c r="B11" s="42" t="n"/>
      <c r="C11" s="41" t="n"/>
      <c r="D11" s="41" t="n"/>
      <c r="E11" s="41" t="n"/>
      <c r="F11" s="41" t="n"/>
      <c r="G11" s="43" t="n"/>
      <c r="H11" s="44" t="n"/>
      <c r="I11" s="44" t="n"/>
      <c r="J11" s="44" t="n"/>
      <c r="K11" s="41" t="n"/>
      <c r="L11" s="45" t="n"/>
      <c r="M11" s="46">
        <f>IF(K11="SL","Terecht",IF(K11="TP","Onterecht",""))</f>
        <v/>
      </c>
      <c r="N11" s="41" t="n"/>
    </row>
    <row r="12">
      <c r="B12" s="47" t="n"/>
      <c r="G12" s="48" t="n"/>
      <c r="H12" s="49" t="n"/>
      <c r="I12" s="49" t="n"/>
      <c r="J12" s="49" t="n"/>
      <c r="L12" s="50" t="n"/>
      <c r="M12" s="40">
        <f>IF(K12="SL","Terecht",IF(K12="TP","Onterecht",""))</f>
        <v/>
      </c>
    </row>
    <row r="13">
      <c r="A13" s="41" t="n"/>
      <c r="B13" s="42" t="n"/>
      <c r="C13" s="41" t="n"/>
      <c r="D13" s="41" t="n"/>
      <c r="E13" s="41" t="n"/>
      <c r="F13" s="41" t="n"/>
      <c r="G13" s="43" t="n"/>
      <c r="H13" s="44" t="n"/>
      <c r="I13" s="44" t="n"/>
      <c r="J13" s="44" t="n"/>
      <c r="K13" s="41" t="n"/>
      <c r="L13" s="45" t="n"/>
      <c r="M13" s="46">
        <f>IF(K13="SL","Terecht",IF(K13="TP","Onterecht",""))</f>
        <v/>
      </c>
      <c r="N13" s="41" t="n"/>
    </row>
    <row r="14">
      <c r="B14" s="47" t="n"/>
      <c r="G14" s="48" t="n"/>
      <c r="H14" s="49" t="n"/>
      <c r="I14" s="49" t="n"/>
      <c r="J14" s="49" t="n"/>
      <c r="L14" s="50" t="n"/>
      <c r="M14" s="40">
        <f>IF(K14="SL","Terecht",IF(K14="TP","Onterecht",""))</f>
        <v/>
      </c>
    </row>
    <row r="15">
      <c r="A15" s="41" t="n"/>
      <c r="B15" s="42" t="n"/>
      <c r="C15" s="41" t="n"/>
      <c r="D15" s="41" t="n"/>
      <c r="E15" s="41" t="n"/>
      <c r="F15" s="41" t="n"/>
      <c r="G15" s="43" t="n"/>
      <c r="H15" s="44" t="n"/>
      <c r="I15" s="44" t="n"/>
      <c r="J15" s="44" t="n"/>
      <c r="K15" s="41" t="n"/>
      <c r="L15" s="45" t="n"/>
      <c r="M15" s="46">
        <f>IF(K15="SL","Terecht",IF(K15="TP","Onterecht",""))</f>
        <v/>
      </c>
      <c r="N15" s="41" t="n"/>
    </row>
    <row r="16">
      <c r="B16" s="47" t="n"/>
      <c r="G16" s="48" t="n"/>
      <c r="H16" s="49" t="n"/>
      <c r="I16" s="49" t="n"/>
      <c r="J16" s="49" t="n"/>
      <c r="L16" s="50" t="n"/>
      <c r="M16" s="40">
        <f>IF(K16="SL","Terecht",IF(K16="TP","Onterecht",""))</f>
        <v/>
      </c>
    </row>
    <row r="17">
      <c r="A17" s="41" t="n"/>
      <c r="B17" s="42" t="n"/>
      <c r="C17" s="41" t="n"/>
      <c r="D17" s="41" t="n"/>
      <c r="E17" s="41" t="n"/>
      <c r="F17" s="41" t="n"/>
      <c r="G17" s="43" t="n"/>
      <c r="H17" s="44" t="n"/>
      <c r="I17" s="44" t="n"/>
      <c r="J17" s="44" t="n"/>
      <c r="K17" s="41" t="n"/>
      <c r="L17" s="45" t="n"/>
      <c r="M17" s="46">
        <f>IF(K17="SL","Terecht",IF(K17="TP","Onterecht",""))</f>
        <v/>
      </c>
      <c r="N17" s="41" t="n"/>
    </row>
    <row r="18">
      <c r="B18" s="47" t="n"/>
      <c r="G18" s="48" t="n"/>
      <c r="H18" s="49" t="n"/>
      <c r="I18" s="49" t="n"/>
      <c r="J18" s="49" t="n"/>
      <c r="L18" s="50" t="n"/>
      <c r="M18" s="40">
        <f>IF(K18="SL","Terecht",IF(K18="TP","Onterecht",""))</f>
        <v/>
      </c>
    </row>
    <row r="19">
      <c r="A19" s="41" t="n"/>
      <c r="B19" s="42" t="n"/>
      <c r="C19" s="41" t="n"/>
      <c r="D19" s="41" t="n"/>
      <c r="E19" s="41" t="n"/>
      <c r="F19" s="41" t="n"/>
      <c r="G19" s="43" t="n"/>
      <c r="H19" s="44" t="n"/>
      <c r="I19" s="44" t="n"/>
      <c r="J19" s="44" t="n"/>
      <c r="K19" s="41" t="n"/>
      <c r="L19" s="45" t="n"/>
      <c r="M19" s="46">
        <f>IF(K19="SL","Terecht",IF(K19="TP","Onterecht",""))</f>
        <v/>
      </c>
      <c r="N19" s="41" t="n"/>
    </row>
    <row r="20">
      <c r="B20" s="47" t="n"/>
      <c r="G20" s="48" t="n"/>
      <c r="H20" s="49" t="n"/>
      <c r="I20" s="49" t="n"/>
      <c r="J20" s="49" t="n"/>
      <c r="L20" s="50" t="n"/>
      <c r="M20" s="40">
        <f>IF(K20="SL","Terecht",IF(K20="TP","Onterecht",""))</f>
        <v/>
      </c>
    </row>
    <row r="21">
      <c r="A21" s="41" t="n"/>
      <c r="B21" s="42" t="n"/>
      <c r="C21" s="41" t="n"/>
      <c r="D21" s="41" t="n"/>
      <c r="E21" s="41" t="n"/>
      <c r="F21" s="41" t="n"/>
      <c r="G21" s="43" t="n"/>
      <c r="H21" s="44" t="n"/>
      <c r="I21" s="44" t="n"/>
      <c r="J21" s="44" t="n"/>
      <c r="K21" s="41" t="n"/>
      <c r="L21" s="45" t="n"/>
      <c r="M21" s="46">
        <f>IF(K21="SL","Terecht",IF(K21="TP","Onterecht",""))</f>
        <v/>
      </c>
      <c r="N21" s="41" t="n"/>
    </row>
    <row r="22">
      <c r="B22" s="47" t="n"/>
      <c r="G22" s="48" t="n"/>
      <c r="H22" s="49" t="n"/>
      <c r="I22" s="49" t="n"/>
      <c r="J22" s="49" t="n"/>
      <c r="L22" s="50" t="n"/>
      <c r="M22" s="40">
        <f>IF(K22="SL","Terecht",IF(K22="TP","Onterecht",""))</f>
        <v/>
      </c>
    </row>
    <row r="23">
      <c r="A23" s="41" t="n"/>
      <c r="B23" s="42" t="n"/>
      <c r="C23" s="41" t="n"/>
      <c r="D23" s="41" t="n"/>
      <c r="E23" s="41" t="n"/>
      <c r="F23" s="41" t="n"/>
      <c r="G23" s="43" t="n"/>
      <c r="H23" s="44" t="n"/>
      <c r="I23" s="44" t="n"/>
      <c r="J23" s="44" t="n"/>
      <c r="K23" s="41" t="n"/>
      <c r="L23" s="45" t="n"/>
      <c r="M23" s="46">
        <f>IF(K23="SL","Terecht",IF(K23="TP","Onterecht",""))</f>
        <v/>
      </c>
      <c r="N23" s="41" t="n"/>
    </row>
    <row r="24">
      <c r="B24" s="47" t="n"/>
      <c r="G24" s="48" t="n"/>
      <c r="H24" s="49" t="n"/>
      <c r="I24" s="49" t="n"/>
      <c r="J24" s="49" t="n"/>
      <c r="L24" s="50" t="n"/>
      <c r="M24" s="40">
        <f>IF(K24="SL","Terecht",IF(K24="TP","Onterecht",""))</f>
        <v/>
      </c>
    </row>
    <row r="25">
      <c r="A25" s="41" t="n"/>
      <c r="B25" s="42" t="n"/>
      <c r="C25" s="41" t="n"/>
      <c r="D25" s="41" t="n"/>
      <c r="E25" s="41" t="n"/>
      <c r="F25" s="41" t="n"/>
      <c r="G25" s="43" t="n"/>
      <c r="H25" s="44" t="n"/>
      <c r="I25" s="44" t="n"/>
      <c r="J25" s="44" t="n"/>
      <c r="K25" s="41" t="n"/>
      <c r="L25" s="45" t="n"/>
      <c r="M25" s="46">
        <f>IF(K25="SL","Terecht",IF(K25="TP","Onterecht",""))</f>
        <v/>
      </c>
      <c r="N25" s="41" t="n"/>
    </row>
    <row r="26">
      <c r="B26" s="47" t="n"/>
      <c r="G26" s="48" t="n"/>
      <c r="H26" s="49" t="n"/>
      <c r="I26" s="49" t="n"/>
      <c r="J26" s="49" t="n"/>
      <c r="L26" s="50" t="n"/>
      <c r="M26" s="40">
        <f>IF(K26="SL","Terecht",IF(K26="TP","Onterecht",""))</f>
        <v/>
      </c>
    </row>
    <row r="27">
      <c r="A27" s="41" t="n"/>
      <c r="B27" s="42" t="n"/>
      <c r="C27" s="41" t="n"/>
      <c r="D27" s="41" t="n"/>
      <c r="E27" s="41" t="n"/>
      <c r="F27" s="41" t="n"/>
      <c r="G27" s="43" t="n"/>
      <c r="H27" s="44" t="n"/>
      <c r="I27" s="44" t="n"/>
      <c r="J27" s="44" t="n"/>
      <c r="K27" s="41" t="n"/>
      <c r="L27" s="45" t="n"/>
      <c r="M27" s="46">
        <f>IF(K27="SL","Terecht",IF(K27="TP","Onterecht",""))</f>
        <v/>
      </c>
      <c r="N27" s="41" t="n"/>
    </row>
    <row r="28">
      <c r="B28" s="47" t="n"/>
      <c r="G28" s="48" t="n"/>
      <c r="H28" s="49" t="n"/>
      <c r="I28" s="49" t="n"/>
      <c r="J28" s="49" t="n"/>
      <c r="L28" s="50" t="n"/>
      <c r="M28" s="40">
        <f>IF(K28="SL","Terecht",IF(K28="TP","Onterecht",""))</f>
        <v/>
      </c>
    </row>
    <row r="29">
      <c r="A29" s="41" t="n"/>
      <c r="B29" s="42" t="n"/>
      <c r="C29" s="41" t="n"/>
      <c r="D29" s="41" t="n"/>
      <c r="E29" s="41" t="n"/>
      <c r="F29" s="41" t="n"/>
      <c r="G29" s="43" t="n"/>
      <c r="H29" s="44" t="n"/>
      <c r="I29" s="44" t="n"/>
      <c r="J29" s="44" t="n"/>
      <c r="K29" s="41" t="n"/>
      <c r="L29" s="45" t="n"/>
      <c r="M29" s="46">
        <f>IF(K29="SL","Terecht",IF(K29="TP","Onterecht",""))</f>
        <v/>
      </c>
      <c r="N29" s="41" t="n"/>
    </row>
    <row r="30">
      <c r="B30" s="47" t="n"/>
      <c r="G30" s="48" t="n"/>
      <c r="H30" s="49" t="n"/>
      <c r="I30" s="49" t="n"/>
      <c r="J30" s="49" t="n"/>
      <c r="L30" s="50" t="n"/>
      <c r="M30" s="40">
        <f>IF(K30="SL","Terecht",IF(K30="TP","Onterecht",""))</f>
        <v/>
      </c>
    </row>
    <row r="31">
      <c r="A31" s="41" t="n"/>
      <c r="B31" s="42" t="n"/>
      <c r="C31" s="41" t="n"/>
      <c r="D31" s="41" t="n"/>
      <c r="E31" s="41" t="n"/>
      <c r="F31" s="41" t="n"/>
      <c r="G31" s="43" t="n"/>
      <c r="H31" s="44" t="n"/>
      <c r="I31" s="44" t="n"/>
      <c r="J31" s="44" t="n"/>
      <c r="K31" s="41" t="n"/>
      <c r="L31" s="45" t="n"/>
      <c r="M31" s="46">
        <f>IF(K31="SL","Terecht",IF(K31="TP","Onterecht",""))</f>
        <v/>
      </c>
      <c r="N31" s="41" t="n"/>
    </row>
    <row r="32">
      <c r="B32" s="47" t="n"/>
      <c r="G32" s="48" t="n"/>
      <c r="H32" s="49" t="n"/>
      <c r="I32" s="49" t="n"/>
      <c r="J32" s="49" t="n"/>
      <c r="L32" s="50" t="n"/>
      <c r="M32" s="40">
        <f>IF(K32="SL","Terecht",IF(K32="TP","Onterecht",""))</f>
        <v/>
      </c>
    </row>
    <row r="33">
      <c r="A33" s="41" t="n"/>
      <c r="B33" s="42" t="n"/>
      <c r="C33" s="41" t="n"/>
      <c r="D33" s="41" t="n"/>
      <c r="E33" s="41" t="n"/>
      <c r="F33" s="41" t="n"/>
      <c r="G33" s="43" t="n"/>
      <c r="H33" s="44" t="n"/>
      <c r="I33" s="44" t="n"/>
      <c r="J33" s="44" t="n"/>
      <c r="K33" s="41" t="n"/>
      <c r="L33" s="45" t="n"/>
      <c r="M33" s="46">
        <f>IF(K33="SL","Terecht",IF(K33="TP","Onterecht",""))</f>
        <v/>
      </c>
      <c r="N33" s="41" t="n"/>
    </row>
    <row r="34">
      <c r="B34" s="47" t="n"/>
      <c r="G34" s="48" t="n"/>
      <c r="H34" s="49" t="n"/>
      <c r="I34" s="49" t="n"/>
      <c r="J34" s="49" t="n"/>
      <c r="L34" s="50" t="n"/>
      <c r="M34" s="40">
        <f>IF(K34="SL","Terecht",IF(K34="TP","Onterecht",""))</f>
        <v/>
      </c>
    </row>
    <row r="35">
      <c r="A35" s="41" t="n"/>
      <c r="B35" s="42" t="n"/>
      <c r="C35" s="41" t="n"/>
      <c r="D35" s="41" t="n"/>
      <c r="E35" s="41" t="n"/>
      <c r="F35" s="41" t="n"/>
      <c r="G35" s="43" t="n"/>
      <c r="H35" s="44" t="n"/>
      <c r="I35" s="44" t="n"/>
      <c r="J35" s="44" t="n"/>
      <c r="K35" s="41" t="n"/>
      <c r="L35" s="45" t="n"/>
      <c r="M35" s="46">
        <f>IF(K35="SL","Terecht",IF(K35="TP","Onterecht",""))</f>
        <v/>
      </c>
      <c r="N35" s="41" t="n"/>
    </row>
    <row r="36">
      <c r="B36" s="47" t="n"/>
      <c r="G36" s="48" t="n"/>
      <c r="H36" s="49" t="n"/>
      <c r="I36" s="49" t="n"/>
      <c r="J36" s="49" t="n"/>
      <c r="L36" s="50" t="n"/>
      <c r="M36" s="40">
        <f>IF(K36="SL","Terecht",IF(K36="TP","Onterecht",""))</f>
        <v/>
      </c>
    </row>
    <row r="37">
      <c r="A37" s="41" t="n"/>
      <c r="B37" s="42" t="n"/>
      <c r="C37" s="41" t="n"/>
      <c r="D37" s="41" t="n"/>
      <c r="E37" s="41" t="n"/>
      <c r="F37" s="41" t="n"/>
      <c r="G37" s="43" t="n"/>
      <c r="H37" s="44" t="n"/>
      <c r="I37" s="44" t="n"/>
      <c r="J37" s="44" t="n"/>
      <c r="K37" s="41" t="n"/>
      <c r="L37" s="45" t="n"/>
      <c r="M37" s="46">
        <f>IF(K37="SL","Terecht",IF(K37="TP","Onterecht",""))</f>
        <v/>
      </c>
      <c r="N37" s="41" t="n"/>
    </row>
    <row r="38">
      <c r="B38" s="47" t="n"/>
      <c r="G38" s="48" t="n"/>
      <c r="H38" s="49" t="n"/>
      <c r="I38" s="49" t="n"/>
      <c r="J38" s="49" t="n"/>
      <c r="L38" s="50" t="n"/>
      <c r="M38" s="40">
        <f>IF(K38="SL","Terecht",IF(K38="TP","Onterecht",""))</f>
        <v/>
      </c>
    </row>
    <row r="39">
      <c r="A39" s="41" t="n"/>
      <c r="B39" s="42" t="n"/>
      <c r="C39" s="41" t="n"/>
      <c r="D39" s="41" t="n"/>
      <c r="E39" s="41" t="n"/>
      <c r="F39" s="41" t="n"/>
      <c r="G39" s="43" t="n"/>
      <c r="H39" s="44" t="n"/>
      <c r="I39" s="44" t="n"/>
      <c r="J39" s="44" t="n"/>
      <c r="K39" s="41" t="n"/>
      <c r="L39" s="45" t="n"/>
      <c r="M39" s="46">
        <f>IF(K39="SL","Terecht",IF(K39="TP","Onterecht",""))</f>
        <v/>
      </c>
      <c r="N39" s="41" t="n"/>
    </row>
    <row r="40">
      <c r="B40" s="47" t="n"/>
      <c r="G40" s="48" t="n"/>
      <c r="H40" s="49" t="n"/>
      <c r="I40" s="49" t="n"/>
      <c r="J40" s="49" t="n"/>
      <c r="L40" s="50" t="n"/>
      <c r="M40" s="40">
        <f>IF(K40="SL","Terecht",IF(K40="TP","Onterecht",""))</f>
        <v/>
      </c>
    </row>
    <row r="41">
      <c r="A41" s="41" t="n"/>
      <c r="B41" s="42" t="n"/>
      <c r="C41" s="41" t="n"/>
      <c r="D41" s="41" t="n"/>
      <c r="E41" s="41" t="n"/>
      <c r="F41" s="41" t="n"/>
      <c r="G41" s="43" t="n"/>
      <c r="H41" s="44" t="n"/>
      <c r="I41" s="44" t="n"/>
      <c r="J41" s="44" t="n"/>
      <c r="K41" s="41" t="n"/>
      <c r="L41" s="45" t="n"/>
      <c r="M41" s="46">
        <f>IF(K41="SL","Terecht",IF(K41="TP","Onterecht",""))</f>
        <v/>
      </c>
      <c r="N41" s="41" t="n"/>
    </row>
    <row r="42">
      <c r="B42" s="47" t="n"/>
      <c r="G42" s="48" t="n"/>
      <c r="H42" s="49" t="n"/>
      <c r="I42" s="49" t="n"/>
      <c r="J42" s="49" t="n"/>
      <c r="L42" s="50" t="n"/>
      <c r="M42" s="40">
        <f>IF(K42="SL","Terecht",IF(K42="TP","Onterecht",""))</f>
        <v/>
      </c>
    </row>
    <row r="43">
      <c r="A43" s="41" t="n"/>
      <c r="B43" s="42" t="n"/>
      <c r="C43" s="41" t="n"/>
      <c r="D43" s="41" t="n"/>
      <c r="E43" s="41" t="n"/>
      <c r="F43" s="41" t="n"/>
      <c r="G43" s="43" t="n"/>
      <c r="H43" s="44" t="n"/>
      <c r="I43" s="44" t="n"/>
      <c r="J43" s="44" t="n"/>
      <c r="K43" s="41" t="n"/>
      <c r="L43" s="45" t="n"/>
      <c r="M43" s="46">
        <f>IF(K43="SL","Terecht",IF(K43="TP","Onterecht",""))</f>
        <v/>
      </c>
      <c r="N43" s="41" t="n"/>
    </row>
    <row r="44">
      <c r="B44" s="47" t="n"/>
      <c r="G44" s="48" t="n"/>
      <c r="H44" s="49" t="n"/>
      <c r="I44" s="49" t="n"/>
      <c r="J44" s="49" t="n"/>
      <c r="L44" s="50" t="n"/>
      <c r="M44" s="40">
        <f>IF(K44="SL","Terecht",IF(K44="TP","Onterecht",""))</f>
        <v/>
      </c>
    </row>
    <row r="45">
      <c r="A45" s="41" t="n"/>
      <c r="B45" s="42" t="n"/>
      <c r="C45" s="41" t="n"/>
      <c r="D45" s="41" t="n"/>
      <c r="E45" s="41" t="n"/>
      <c r="F45" s="41" t="n"/>
      <c r="G45" s="43" t="n"/>
      <c r="H45" s="44" t="n"/>
      <c r="I45" s="44" t="n"/>
      <c r="J45" s="44" t="n"/>
      <c r="K45" s="41" t="n"/>
      <c r="L45" s="45" t="n"/>
      <c r="M45" s="46">
        <f>IF(K45="SL","Terecht",IF(K45="TP","Onterecht",""))</f>
        <v/>
      </c>
      <c r="N45" s="41" t="n"/>
    </row>
    <row r="46">
      <c r="B46" s="47" t="n"/>
      <c r="G46" s="48" t="n"/>
      <c r="H46" s="49" t="n"/>
      <c r="I46" s="49" t="n"/>
      <c r="J46" s="49" t="n"/>
      <c r="L46" s="50" t="n"/>
      <c r="M46" s="40">
        <f>IF(K46="SL","Terecht",IF(K46="TP","Onterecht",""))</f>
        <v/>
      </c>
    </row>
    <row r="47">
      <c r="A47" s="41" t="n"/>
      <c r="B47" s="42" t="n"/>
      <c r="C47" s="41" t="n"/>
      <c r="D47" s="41" t="n"/>
      <c r="E47" s="41" t="n"/>
      <c r="F47" s="41" t="n"/>
      <c r="G47" s="43" t="n"/>
      <c r="H47" s="44" t="n"/>
      <c r="I47" s="44" t="n"/>
      <c r="J47" s="44" t="n"/>
      <c r="K47" s="41" t="n"/>
      <c r="L47" s="45" t="n"/>
      <c r="M47" s="46">
        <f>IF(K47="SL","Terecht",IF(K47="TP","Onterecht",""))</f>
        <v/>
      </c>
      <c r="N47" s="41" t="n"/>
    </row>
    <row r="48">
      <c r="B48" s="47" t="n"/>
      <c r="G48" s="48" t="n"/>
      <c r="H48" s="49" t="n"/>
      <c r="I48" s="49" t="n"/>
      <c r="J48" s="49" t="n"/>
      <c r="L48" s="50" t="n"/>
      <c r="M48" s="40">
        <f>IF(K48="SL","Terecht",IF(K48="TP","Onterecht",""))</f>
        <v/>
      </c>
    </row>
    <row r="49">
      <c r="A49" s="41" t="n"/>
      <c r="B49" s="42" t="n"/>
      <c r="C49" s="41" t="n"/>
      <c r="D49" s="41" t="n"/>
      <c r="E49" s="41" t="n"/>
      <c r="F49" s="41" t="n"/>
      <c r="G49" s="43" t="n"/>
      <c r="H49" s="44" t="n"/>
      <c r="I49" s="44" t="n"/>
      <c r="J49" s="44" t="n"/>
      <c r="K49" s="41" t="n"/>
      <c r="L49" s="45" t="n"/>
      <c r="M49" s="46">
        <f>IF(K49="SL","Terecht",IF(K49="TP","Onterecht",""))</f>
        <v/>
      </c>
      <c r="N49" s="41" t="n"/>
    </row>
    <row r="50">
      <c r="B50" s="47" t="n"/>
      <c r="G50" s="48" t="n"/>
      <c r="H50" s="49" t="n"/>
      <c r="I50" s="49" t="n"/>
      <c r="J50" s="49" t="n"/>
      <c r="L50" s="50" t="n"/>
      <c r="M50" s="40">
        <f>IF(K50="SL","Terecht",IF(K50="TP","Onterecht",""))</f>
        <v/>
      </c>
    </row>
    <row r="51">
      <c r="A51" s="41" t="n"/>
      <c r="B51" s="42" t="n"/>
      <c r="C51" s="41" t="n"/>
      <c r="D51" s="41" t="n"/>
      <c r="E51" s="41" t="n"/>
      <c r="F51" s="41" t="n"/>
      <c r="G51" s="43" t="n"/>
      <c r="H51" s="44" t="n"/>
      <c r="I51" s="44" t="n"/>
      <c r="J51" s="44" t="n"/>
      <c r="K51" s="41" t="n"/>
      <c r="L51" s="45" t="n"/>
      <c r="M51" s="46">
        <f>IF(K51="SL","Terecht",IF(K51="TP","Onterecht",""))</f>
        <v/>
      </c>
      <c r="N51" s="41" t="n"/>
    </row>
    <row r="52">
      <c r="B52" s="47" t="n"/>
      <c r="G52" s="48" t="n"/>
      <c r="H52" s="49" t="n"/>
      <c r="I52" s="49" t="n"/>
      <c r="J52" s="49" t="n"/>
      <c r="L52" s="50" t="n"/>
      <c r="M52" s="40">
        <f>IF(K52="SL","Terecht",IF(K52="TP","Onterecht",""))</f>
        <v/>
      </c>
    </row>
    <row r="53">
      <c r="A53" s="41" t="n"/>
      <c r="B53" s="42" t="n"/>
      <c r="C53" s="41" t="n"/>
      <c r="D53" s="41" t="n"/>
      <c r="E53" s="41" t="n"/>
      <c r="F53" s="41" t="n"/>
      <c r="G53" s="43" t="n"/>
      <c r="H53" s="44" t="n"/>
      <c r="I53" s="44" t="n"/>
      <c r="J53" s="44" t="n"/>
      <c r="K53" s="41" t="n"/>
      <c r="L53" s="45" t="n"/>
      <c r="M53" s="46">
        <f>IF(K53="SL","Terecht",IF(K53="TP","Onterecht",""))</f>
        <v/>
      </c>
      <c r="N53" s="41" t="n"/>
    </row>
    <row r="54">
      <c r="B54" s="47" t="n"/>
      <c r="G54" s="48" t="n"/>
      <c r="H54" s="49" t="n"/>
      <c r="I54" s="49" t="n"/>
      <c r="J54" s="49" t="n"/>
      <c r="L54" s="50" t="n"/>
      <c r="M54" s="40">
        <f>IF(K54="SL","Terecht",IF(K54="TP","Onterecht",""))</f>
        <v/>
      </c>
    </row>
    <row r="55">
      <c r="A55" s="41" t="n"/>
      <c r="B55" s="42" t="n"/>
      <c r="C55" s="41" t="n"/>
      <c r="D55" s="41" t="n"/>
      <c r="E55" s="41" t="n"/>
      <c r="F55" s="41" t="n"/>
      <c r="G55" s="43" t="n"/>
      <c r="H55" s="44" t="n"/>
      <c r="I55" s="44" t="n"/>
      <c r="J55" s="44" t="n"/>
      <c r="K55" s="41" t="n"/>
      <c r="L55" s="45" t="n"/>
      <c r="M55" s="46">
        <f>IF(K55="SL","Terecht",IF(K55="TP","Onterecht",""))</f>
        <v/>
      </c>
      <c r="N55" s="41" t="n"/>
    </row>
    <row r="56">
      <c r="B56" s="47" t="n"/>
      <c r="G56" s="48" t="n"/>
      <c r="H56" s="49" t="n"/>
      <c r="I56" s="49" t="n"/>
      <c r="J56" s="49" t="n"/>
      <c r="L56" s="50" t="n"/>
      <c r="M56" s="40">
        <f>IF(K56="SL","Terecht",IF(K56="TP","Onterecht",""))</f>
        <v/>
      </c>
    </row>
    <row r="57">
      <c r="A57" s="41" t="n"/>
      <c r="B57" s="42" t="n"/>
      <c r="C57" s="41" t="n"/>
      <c r="D57" s="41" t="n"/>
      <c r="E57" s="41" t="n"/>
      <c r="F57" s="41" t="n"/>
      <c r="G57" s="43" t="n"/>
      <c r="H57" s="44" t="n"/>
      <c r="I57" s="44" t="n"/>
      <c r="J57" s="44" t="n"/>
      <c r="K57" s="41" t="n"/>
      <c r="L57" s="45" t="n"/>
      <c r="M57" s="46">
        <f>IF(K57="SL","Terecht",IF(K57="TP","Onterecht",""))</f>
        <v/>
      </c>
      <c r="N57" s="41" t="n"/>
    </row>
    <row r="58">
      <c r="B58" s="47" t="n"/>
      <c r="G58" s="48" t="n"/>
      <c r="H58" s="49" t="n"/>
      <c r="I58" s="49" t="n"/>
      <c r="J58" s="49" t="n"/>
      <c r="L58" s="50" t="n"/>
      <c r="M58" s="40">
        <f>IF(K58="SL","Terecht",IF(K58="TP","Onterecht",""))</f>
        <v/>
      </c>
    </row>
    <row r="59">
      <c r="A59" s="41" t="n"/>
      <c r="B59" s="42" t="n"/>
      <c r="C59" s="41" t="n"/>
      <c r="D59" s="41" t="n"/>
      <c r="E59" s="41" t="n"/>
      <c r="F59" s="41" t="n"/>
      <c r="G59" s="43" t="n"/>
      <c r="H59" s="44" t="n"/>
      <c r="I59" s="44" t="n"/>
      <c r="J59" s="44" t="n"/>
      <c r="K59" s="41" t="n"/>
      <c r="L59" s="45" t="n"/>
      <c r="M59" s="46">
        <f>IF(K59="SL","Terecht",IF(K59="TP","Onterecht",""))</f>
        <v/>
      </c>
      <c r="N59" s="41" t="n"/>
    </row>
    <row r="60">
      <c r="B60" s="47" t="n"/>
      <c r="G60" s="48" t="n"/>
      <c r="H60" s="49" t="n"/>
      <c r="I60" s="49" t="n"/>
      <c r="J60" s="49" t="n"/>
      <c r="L60" s="50" t="n"/>
      <c r="M60" s="40">
        <f>IF(K60="SL","Terecht",IF(K60="TP","Onterecht",""))</f>
        <v/>
      </c>
    </row>
    <row r="61">
      <c r="A61" s="41" t="n"/>
      <c r="B61" s="42" t="n"/>
      <c r="C61" s="41" t="n"/>
      <c r="D61" s="41" t="n"/>
      <c r="E61" s="41" t="n"/>
      <c r="F61" s="41" t="n"/>
      <c r="G61" s="43" t="n"/>
      <c r="H61" s="44" t="n"/>
      <c r="I61" s="44" t="n"/>
      <c r="J61" s="44" t="n"/>
      <c r="K61" s="41" t="n"/>
      <c r="L61" s="45" t="n"/>
      <c r="M61" s="46">
        <f>IF(K61="SL","Terecht",IF(K61="TP","Onterecht",""))</f>
        <v/>
      </c>
      <c r="N61" s="41" t="n"/>
    </row>
    <row r="62">
      <c r="B62" s="47" t="n"/>
      <c r="G62" s="48" t="n"/>
      <c r="H62" s="49" t="n"/>
      <c r="I62" s="49" t="n"/>
      <c r="J62" s="49" t="n"/>
      <c r="L62" s="50" t="n"/>
      <c r="M62" s="40">
        <f>IF(K62="SL","Terecht",IF(K62="TP","Onterecht",""))</f>
        <v/>
      </c>
    </row>
    <row r="63">
      <c r="A63" s="41" t="n"/>
      <c r="B63" s="42" t="n"/>
      <c r="C63" s="41" t="n"/>
      <c r="D63" s="41" t="n"/>
      <c r="E63" s="41" t="n"/>
      <c r="F63" s="41" t="n"/>
      <c r="G63" s="43" t="n"/>
      <c r="H63" s="44" t="n"/>
      <c r="I63" s="44" t="n"/>
      <c r="J63" s="44" t="n"/>
      <c r="K63" s="41" t="n"/>
      <c r="L63" s="45" t="n"/>
      <c r="M63" s="46">
        <f>IF(K63="SL","Terecht",IF(K63="TP","Onterecht",""))</f>
        <v/>
      </c>
      <c r="N63" s="41" t="n"/>
    </row>
    <row r="64">
      <c r="B64" s="47" t="n"/>
      <c r="G64" s="48" t="n"/>
      <c r="H64" s="49" t="n"/>
      <c r="I64" s="49" t="n"/>
      <c r="J64" s="49" t="n"/>
      <c r="L64" s="50" t="n"/>
      <c r="M64" s="40">
        <f>IF(K64="SL","Terecht",IF(K64="TP","Onterecht",""))</f>
        <v/>
      </c>
    </row>
    <row r="65">
      <c r="A65" s="41" t="n"/>
      <c r="B65" s="42" t="n"/>
      <c r="C65" s="41" t="n"/>
      <c r="D65" s="41" t="n"/>
      <c r="E65" s="41" t="n"/>
      <c r="F65" s="41" t="n"/>
      <c r="G65" s="43" t="n"/>
      <c r="H65" s="44" t="n"/>
      <c r="I65" s="44" t="n"/>
      <c r="J65" s="44" t="n"/>
      <c r="K65" s="41" t="n"/>
      <c r="L65" s="45" t="n"/>
      <c r="M65" s="46">
        <f>IF(K65="SL","Terecht",IF(K65="TP","Onterecht",""))</f>
        <v/>
      </c>
      <c r="N65" s="41" t="n"/>
    </row>
    <row r="66">
      <c r="B66" s="47" t="n"/>
      <c r="G66" s="48" t="n"/>
      <c r="H66" s="49" t="n"/>
      <c r="I66" s="49" t="n"/>
      <c r="J66" s="49" t="n"/>
      <c r="L66" s="50" t="n"/>
      <c r="M66" s="40">
        <f>IF(K66="SL","Terecht",IF(K66="TP","Onterecht",""))</f>
        <v/>
      </c>
    </row>
    <row r="67">
      <c r="A67" s="41" t="n"/>
      <c r="B67" s="42" t="n"/>
      <c r="C67" s="41" t="n"/>
      <c r="D67" s="41" t="n"/>
      <c r="E67" s="41" t="n"/>
      <c r="F67" s="41" t="n"/>
      <c r="G67" s="43" t="n"/>
      <c r="H67" s="44" t="n"/>
      <c r="I67" s="44" t="n"/>
      <c r="J67" s="44" t="n"/>
      <c r="K67" s="41" t="n"/>
      <c r="L67" s="45" t="n"/>
      <c r="M67" s="46">
        <f>IF(K67="SL","Terecht",IF(K67="TP","Onterecht",""))</f>
        <v/>
      </c>
      <c r="N67" s="41" t="n"/>
    </row>
    <row r="68">
      <c r="B68" s="47" t="n"/>
      <c r="G68" s="48" t="n"/>
      <c r="H68" s="49" t="n"/>
      <c r="I68" s="49" t="n"/>
      <c r="J68" s="49" t="n"/>
      <c r="L68" s="50" t="n"/>
      <c r="M68" s="40">
        <f>IF(K68="SL","Terecht",IF(K68="TP","Onterecht",""))</f>
        <v/>
      </c>
    </row>
    <row r="69">
      <c r="A69" s="41" t="n"/>
      <c r="B69" s="42" t="n"/>
      <c r="C69" s="41" t="n"/>
      <c r="D69" s="41" t="n"/>
      <c r="E69" s="41" t="n"/>
      <c r="F69" s="41" t="n"/>
      <c r="G69" s="43" t="n"/>
      <c r="H69" s="44" t="n"/>
      <c r="I69" s="44" t="n"/>
      <c r="J69" s="44" t="n"/>
      <c r="K69" s="41" t="n"/>
      <c r="L69" s="45" t="n"/>
      <c r="M69" s="46">
        <f>IF(K69="SL","Terecht",IF(K69="TP","Onterecht",""))</f>
        <v/>
      </c>
      <c r="N69" s="41" t="n"/>
    </row>
    <row r="70">
      <c r="B70" s="47" t="n"/>
      <c r="G70" s="48" t="n"/>
      <c r="H70" s="49" t="n"/>
      <c r="I70" s="49" t="n"/>
      <c r="J70" s="49" t="n"/>
      <c r="L70" s="50" t="n"/>
      <c r="M70" s="40">
        <f>IF(K70="SL","Terecht",IF(K70="TP","Onterecht",""))</f>
        <v/>
      </c>
    </row>
    <row r="71">
      <c r="A71" s="41" t="n"/>
      <c r="B71" s="42" t="n"/>
      <c r="C71" s="41" t="n"/>
      <c r="D71" s="41" t="n"/>
      <c r="E71" s="41" t="n"/>
      <c r="F71" s="41" t="n"/>
      <c r="G71" s="43" t="n"/>
      <c r="H71" s="44" t="n"/>
      <c r="I71" s="44" t="n"/>
      <c r="J71" s="44" t="n"/>
      <c r="K71" s="41" t="n"/>
      <c r="L71" s="45" t="n"/>
      <c r="M71" s="46">
        <f>IF(K71="SL","Terecht",IF(K71="TP","Onterecht",""))</f>
        <v/>
      </c>
      <c r="N71" s="41" t="n"/>
    </row>
    <row r="72">
      <c r="B72" s="47" t="n"/>
      <c r="G72" s="48" t="n"/>
      <c r="H72" s="49" t="n"/>
      <c r="I72" s="49" t="n"/>
      <c r="J72" s="49" t="n"/>
      <c r="L72" s="50" t="n"/>
      <c r="M72" s="40">
        <f>IF(K72="SL","Terecht",IF(K72="TP","Onterecht",""))</f>
        <v/>
      </c>
    </row>
    <row r="73">
      <c r="A73" s="41" t="n"/>
      <c r="B73" s="42" t="n"/>
      <c r="C73" s="41" t="n"/>
      <c r="D73" s="41" t="n"/>
      <c r="E73" s="41" t="n"/>
      <c r="F73" s="41" t="n"/>
      <c r="G73" s="43" t="n"/>
      <c r="H73" s="44" t="n"/>
      <c r="I73" s="44" t="n"/>
      <c r="J73" s="44" t="n"/>
      <c r="K73" s="41" t="n"/>
      <c r="L73" s="45" t="n"/>
      <c r="M73" s="46">
        <f>IF(K73="SL","Terecht",IF(K73="TP","Onterecht",""))</f>
        <v/>
      </c>
      <c r="N73" s="41" t="n"/>
    </row>
    <row r="74">
      <c r="B74" s="47" t="n"/>
      <c r="G74" s="48" t="n"/>
      <c r="H74" s="49" t="n"/>
      <c r="I74" s="49" t="n"/>
      <c r="J74" s="49" t="n"/>
      <c r="L74" s="50" t="n"/>
      <c r="M74" s="40">
        <f>IF(K74="SL","Terecht",IF(K74="TP","Onterecht",""))</f>
        <v/>
      </c>
    </row>
    <row r="75">
      <c r="A75" s="41" t="n"/>
      <c r="B75" s="42" t="n"/>
      <c r="C75" s="41" t="n"/>
      <c r="D75" s="41" t="n"/>
      <c r="E75" s="41" t="n"/>
      <c r="F75" s="41" t="n"/>
      <c r="G75" s="43" t="n"/>
      <c r="H75" s="44" t="n"/>
      <c r="I75" s="44" t="n"/>
      <c r="J75" s="44" t="n"/>
      <c r="K75" s="41" t="n"/>
      <c r="L75" s="45" t="n"/>
      <c r="M75" s="46">
        <f>IF(K75="SL","Terecht",IF(K75="TP","Onterecht",""))</f>
        <v/>
      </c>
      <c r="N75" s="41" t="n"/>
    </row>
    <row r="76">
      <c r="B76" s="47" t="n"/>
      <c r="G76" s="48" t="n"/>
      <c r="H76" s="49" t="n"/>
      <c r="I76" s="49" t="n"/>
      <c r="J76" s="49" t="n"/>
      <c r="L76" s="50" t="n"/>
      <c r="M76" s="40">
        <f>IF(K76="SL","Terecht",IF(K76="TP","Onterecht",""))</f>
        <v/>
      </c>
    </row>
    <row r="77">
      <c r="A77" s="41" t="n"/>
      <c r="B77" s="42" t="n"/>
      <c r="C77" s="41" t="n"/>
      <c r="D77" s="41" t="n"/>
      <c r="E77" s="41" t="n"/>
      <c r="F77" s="41" t="n"/>
      <c r="G77" s="43" t="n"/>
      <c r="H77" s="44" t="n"/>
      <c r="I77" s="44" t="n"/>
      <c r="J77" s="44" t="n"/>
      <c r="K77" s="41" t="n"/>
      <c r="L77" s="45" t="n"/>
      <c r="M77" s="46">
        <f>IF(K77="SL","Terecht",IF(K77="TP","Onterecht",""))</f>
        <v/>
      </c>
      <c r="N77" s="41" t="n"/>
    </row>
    <row r="78">
      <c r="B78" s="47" t="n"/>
      <c r="G78" s="48" t="n"/>
      <c r="H78" s="49" t="n"/>
      <c r="I78" s="49" t="n"/>
      <c r="J78" s="49" t="n"/>
      <c r="L78" s="50" t="n"/>
      <c r="M78" s="40">
        <f>IF(K78="SL","Terecht",IF(K78="TP","Onterecht",""))</f>
        <v/>
      </c>
    </row>
    <row r="79">
      <c r="A79" s="41" t="n"/>
      <c r="B79" s="42" t="n"/>
      <c r="C79" s="41" t="n"/>
      <c r="D79" s="41" t="n"/>
      <c r="E79" s="41" t="n"/>
      <c r="F79" s="41" t="n"/>
      <c r="G79" s="43" t="n"/>
      <c r="H79" s="44" t="n"/>
      <c r="I79" s="44" t="n"/>
      <c r="J79" s="44" t="n"/>
      <c r="K79" s="41" t="n"/>
      <c r="L79" s="45" t="n"/>
      <c r="M79" s="46">
        <f>IF(K79="SL","Terecht",IF(K79="TP","Onterecht",""))</f>
        <v/>
      </c>
      <c r="N79" s="41" t="n"/>
    </row>
    <row r="80">
      <c r="B80" s="47" t="n"/>
      <c r="G80" s="48" t="n"/>
      <c r="H80" s="49" t="n"/>
      <c r="I80" s="49" t="n"/>
      <c r="J80" s="49" t="n"/>
      <c r="L80" s="50" t="n"/>
      <c r="M80" s="40">
        <f>IF(K80="SL","Terecht",IF(K80="TP","Onterecht",""))</f>
        <v/>
      </c>
    </row>
    <row r="81">
      <c r="A81" s="41" t="n"/>
      <c r="B81" s="42" t="n"/>
      <c r="C81" s="41" t="n"/>
      <c r="D81" s="41" t="n"/>
      <c r="E81" s="41" t="n"/>
      <c r="F81" s="41" t="n"/>
      <c r="G81" s="43" t="n"/>
      <c r="H81" s="44" t="n"/>
      <c r="I81" s="44" t="n"/>
      <c r="J81" s="44" t="n"/>
      <c r="K81" s="41" t="n"/>
      <c r="L81" s="45" t="n"/>
      <c r="M81" s="46">
        <f>IF(K81="SL","Terecht",IF(K81="TP","Onterecht",""))</f>
        <v/>
      </c>
      <c r="N81" s="41" t="n"/>
    </row>
    <row r="82">
      <c r="B82" s="47" t="n"/>
      <c r="G82" s="48" t="n"/>
      <c r="H82" s="49" t="n"/>
      <c r="I82" s="49" t="n"/>
      <c r="J82" s="49" t="n"/>
      <c r="L82" s="50" t="n"/>
      <c r="M82" s="40">
        <f>IF(K82="SL","Terecht",IF(K82="TP","Onterecht",""))</f>
        <v/>
      </c>
    </row>
    <row r="83">
      <c r="A83" s="41" t="n"/>
      <c r="B83" s="42" t="n"/>
      <c r="C83" s="41" t="n"/>
      <c r="D83" s="41" t="n"/>
      <c r="E83" s="41" t="n"/>
      <c r="F83" s="41" t="n"/>
      <c r="G83" s="43" t="n"/>
      <c r="H83" s="44" t="n"/>
      <c r="I83" s="44" t="n"/>
      <c r="J83" s="44" t="n"/>
      <c r="K83" s="41" t="n"/>
      <c r="L83" s="45" t="n"/>
      <c r="M83" s="46">
        <f>IF(K83="SL","Terecht",IF(K83="TP","Onterecht",""))</f>
        <v/>
      </c>
      <c r="N83" s="41" t="n"/>
    </row>
    <row r="84">
      <c r="B84" s="47" t="n"/>
      <c r="G84" s="48" t="n"/>
      <c r="H84" s="49" t="n"/>
      <c r="I84" s="49" t="n"/>
      <c r="J84" s="49" t="n"/>
      <c r="L84" s="50" t="n"/>
      <c r="M84" s="40">
        <f>IF(K84="SL","Terecht",IF(K84="TP","Onterecht",""))</f>
        <v/>
      </c>
    </row>
    <row r="85">
      <c r="A85" s="41" t="n"/>
      <c r="B85" s="42" t="n"/>
      <c r="C85" s="41" t="n"/>
      <c r="D85" s="41" t="n"/>
      <c r="E85" s="41" t="n"/>
      <c r="F85" s="41" t="n"/>
      <c r="G85" s="43" t="n"/>
      <c r="H85" s="44" t="n"/>
      <c r="I85" s="44" t="n"/>
      <c r="J85" s="44" t="n"/>
      <c r="K85" s="41" t="n"/>
      <c r="L85" s="45" t="n"/>
      <c r="M85" s="46">
        <f>IF(K85="SL","Terecht",IF(K85="TP","Onterecht",""))</f>
        <v/>
      </c>
      <c r="N85" s="41" t="n"/>
    </row>
    <row r="86">
      <c r="B86" s="47" t="n"/>
      <c r="G86" s="48" t="n"/>
      <c r="H86" s="49" t="n"/>
      <c r="I86" s="49" t="n"/>
      <c r="J86" s="49" t="n"/>
      <c r="L86" s="50" t="n"/>
      <c r="M86" s="40">
        <f>IF(K86="SL","Terecht",IF(K86="TP","Onterecht",""))</f>
        <v/>
      </c>
    </row>
    <row r="87">
      <c r="A87" s="41" t="n"/>
      <c r="B87" s="42" t="n"/>
      <c r="C87" s="41" t="n"/>
      <c r="D87" s="41" t="n"/>
      <c r="E87" s="41" t="n"/>
      <c r="F87" s="41" t="n"/>
      <c r="G87" s="43" t="n"/>
      <c r="H87" s="44" t="n"/>
      <c r="I87" s="44" t="n"/>
      <c r="J87" s="44" t="n"/>
      <c r="K87" s="41" t="n"/>
      <c r="L87" s="45" t="n"/>
      <c r="M87" s="46">
        <f>IF(K87="SL","Terecht",IF(K87="TP","Onterecht",""))</f>
        <v/>
      </c>
      <c r="N87" s="41" t="n"/>
    </row>
    <row r="88">
      <c r="B88" s="47" t="n"/>
      <c r="G88" s="48" t="n"/>
      <c r="H88" s="49" t="n"/>
      <c r="I88" s="49" t="n"/>
      <c r="J88" s="49" t="n"/>
      <c r="L88" s="50" t="n"/>
      <c r="M88" s="40">
        <f>IF(K88="SL","Terecht",IF(K88="TP","Onterecht",""))</f>
        <v/>
      </c>
    </row>
    <row r="89">
      <c r="A89" s="41" t="n"/>
      <c r="B89" s="42" t="n"/>
      <c r="C89" s="41" t="n"/>
      <c r="D89" s="41" t="n"/>
      <c r="E89" s="41" t="n"/>
      <c r="F89" s="41" t="n"/>
      <c r="G89" s="43" t="n"/>
      <c r="H89" s="44" t="n"/>
      <c r="I89" s="44" t="n"/>
      <c r="J89" s="44" t="n"/>
      <c r="K89" s="41" t="n"/>
      <c r="L89" s="45" t="n"/>
      <c r="M89" s="46">
        <f>IF(K89="SL","Terecht",IF(K89="TP","Onterecht",""))</f>
        <v/>
      </c>
      <c r="N89" s="41" t="n"/>
    </row>
    <row r="90">
      <c r="B90" s="47" t="n"/>
      <c r="G90" s="48" t="n"/>
      <c r="H90" s="49" t="n"/>
      <c r="I90" s="49" t="n"/>
      <c r="J90" s="49" t="n"/>
      <c r="L90" s="50" t="n"/>
      <c r="M90" s="40">
        <f>IF(K90="SL","Terecht",IF(K90="TP","Onterecht",""))</f>
        <v/>
      </c>
    </row>
    <row r="91">
      <c r="A91" s="41" t="n"/>
      <c r="B91" s="42" t="n"/>
      <c r="C91" s="41" t="n"/>
      <c r="D91" s="41" t="n"/>
      <c r="E91" s="41" t="n"/>
      <c r="F91" s="41" t="n"/>
      <c r="G91" s="43" t="n"/>
      <c r="H91" s="44" t="n"/>
      <c r="I91" s="44" t="n"/>
      <c r="J91" s="44" t="n"/>
      <c r="K91" s="41" t="n"/>
      <c r="L91" s="45" t="n"/>
      <c r="M91" s="46">
        <f>IF(K91="SL","Terecht",IF(K91="TP","Onterecht",""))</f>
        <v/>
      </c>
      <c r="N91" s="41" t="n"/>
    </row>
    <row r="92">
      <c r="B92" s="47" t="n"/>
      <c r="G92" s="48" t="n"/>
      <c r="H92" s="49" t="n"/>
      <c r="I92" s="49" t="n"/>
      <c r="J92" s="49" t="n"/>
      <c r="L92" s="50" t="n"/>
      <c r="M92" s="40">
        <f>IF(K92="SL","Terecht",IF(K92="TP","Onterecht",""))</f>
        <v/>
      </c>
    </row>
    <row r="93">
      <c r="A93" s="41" t="n"/>
      <c r="B93" s="42" t="n"/>
      <c r="C93" s="41" t="n"/>
      <c r="D93" s="41" t="n"/>
      <c r="E93" s="41" t="n"/>
      <c r="F93" s="41" t="n"/>
      <c r="G93" s="43" t="n"/>
      <c r="H93" s="44" t="n"/>
      <c r="I93" s="44" t="n"/>
      <c r="J93" s="44" t="n"/>
      <c r="K93" s="41" t="n"/>
      <c r="L93" s="45" t="n"/>
      <c r="M93" s="46">
        <f>IF(K93="SL","Terecht",IF(K93="TP","Onterecht",""))</f>
        <v/>
      </c>
      <c r="N93" s="41" t="n"/>
    </row>
    <row r="94">
      <c r="B94" s="47" t="n"/>
      <c r="G94" s="48" t="n"/>
      <c r="H94" s="49" t="n"/>
      <c r="I94" s="49" t="n"/>
      <c r="J94" s="49" t="n"/>
      <c r="L94" s="50" t="n"/>
      <c r="M94" s="40">
        <f>IF(K94="SL","Terecht",IF(K94="TP","Onterecht",""))</f>
        <v/>
      </c>
    </row>
    <row r="95">
      <c r="A95" s="41" t="n"/>
      <c r="B95" s="42" t="n"/>
      <c r="C95" s="41" t="n"/>
      <c r="D95" s="41" t="n"/>
      <c r="E95" s="41" t="n"/>
      <c r="F95" s="41" t="n"/>
      <c r="G95" s="43" t="n"/>
      <c r="H95" s="44" t="n"/>
      <c r="I95" s="44" t="n"/>
      <c r="J95" s="44" t="n"/>
      <c r="K95" s="41" t="n"/>
      <c r="L95" s="45" t="n"/>
      <c r="M95" s="46">
        <f>IF(K95="SL","Terecht",IF(K95="TP","Onterecht",""))</f>
        <v/>
      </c>
      <c r="N95" s="41" t="n"/>
    </row>
    <row r="96">
      <c r="B96" s="47" t="n"/>
      <c r="G96" s="48" t="n"/>
      <c r="H96" s="49" t="n"/>
      <c r="I96" s="49" t="n"/>
      <c r="J96" s="49" t="n"/>
      <c r="L96" s="50" t="n"/>
      <c r="M96" s="40">
        <f>IF(K96="SL","Terecht",IF(K96="TP","Onterecht",""))</f>
        <v/>
      </c>
    </row>
    <row r="97">
      <c r="A97" s="41" t="n"/>
      <c r="B97" s="42" t="n"/>
      <c r="C97" s="41" t="n"/>
      <c r="D97" s="41" t="n"/>
      <c r="E97" s="41" t="n"/>
      <c r="F97" s="41" t="n"/>
      <c r="G97" s="43" t="n"/>
      <c r="H97" s="44" t="n"/>
      <c r="I97" s="44" t="n"/>
      <c r="J97" s="44" t="n"/>
      <c r="K97" s="41" t="n"/>
      <c r="L97" s="45" t="n"/>
      <c r="M97" s="46">
        <f>IF(K97="SL","Terecht",IF(K97="TP","Onterecht",""))</f>
        <v/>
      </c>
      <c r="N97" s="41" t="n"/>
    </row>
    <row r="98">
      <c r="B98" s="47" t="n"/>
      <c r="G98" s="48" t="n"/>
      <c r="H98" s="49" t="n"/>
      <c r="I98" s="49" t="n"/>
      <c r="J98" s="49" t="n"/>
      <c r="L98" s="50" t="n"/>
      <c r="M98" s="40">
        <f>IF(K98="SL","Terecht",IF(K98="TP","Onterecht",""))</f>
        <v/>
      </c>
    </row>
    <row r="99">
      <c r="A99" s="41" t="n"/>
      <c r="B99" s="42" t="n"/>
      <c r="C99" s="41" t="n"/>
      <c r="D99" s="41" t="n"/>
      <c r="E99" s="41" t="n"/>
      <c r="F99" s="41" t="n"/>
      <c r="G99" s="43" t="n"/>
      <c r="H99" s="44" t="n"/>
      <c r="I99" s="44" t="n"/>
      <c r="J99" s="44" t="n"/>
      <c r="K99" s="41" t="n"/>
      <c r="L99" s="45" t="n"/>
      <c r="M99" s="46">
        <f>IF(K99="SL","Terecht",IF(K99="TP","Onterecht",""))</f>
        <v/>
      </c>
      <c r="N99" s="41" t="n"/>
    </row>
    <row r="100">
      <c r="B100" s="47" t="n"/>
      <c r="G100" s="48" t="n"/>
      <c r="H100" s="49" t="n"/>
      <c r="I100" s="49" t="n"/>
      <c r="J100" s="49" t="n"/>
      <c r="L100" s="50" t="n"/>
      <c r="M100" s="40">
        <f>IF(K100="SL","Terecht",IF(K100="TP","Onterecht",""))</f>
        <v/>
      </c>
    </row>
    <row r="101">
      <c r="A101" s="41" t="n"/>
      <c r="B101" s="42" t="n"/>
      <c r="C101" s="41" t="n"/>
      <c r="D101" s="41" t="n"/>
      <c r="E101" s="41" t="n"/>
      <c r="F101" s="41" t="n"/>
      <c r="G101" s="43" t="n"/>
      <c r="H101" s="44" t="n"/>
      <c r="I101" s="44" t="n"/>
      <c r="J101" s="44" t="n"/>
      <c r="K101" s="41" t="n"/>
      <c r="L101" s="45" t="n"/>
      <c r="M101" s="46">
        <f>IF(K101="SL","Terecht",IF(K101="TP","Onterecht",""))</f>
        <v/>
      </c>
      <c r="N101" s="41" t="n"/>
    </row>
    <row r="102">
      <c r="B102" s="47" t="n"/>
      <c r="G102" s="48" t="n"/>
      <c r="H102" s="49" t="n"/>
      <c r="I102" s="49" t="n"/>
      <c r="J102" s="49" t="n"/>
      <c r="L102" s="50" t="n"/>
      <c r="M102" s="40">
        <f>IF(K102="SL","Terecht",IF(K102="TP","Onterecht",""))</f>
        <v/>
      </c>
    </row>
    <row r="103">
      <c r="A103" s="41" t="n"/>
      <c r="B103" s="42" t="n"/>
      <c r="C103" s="41" t="n"/>
      <c r="D103" s="41" t="n"/>
      <c r="E103" s="41" t="n"/>
      <c r="F103" s="41" t="n"/>
      <c r="G103" s="43" t="n"/>
      <c r="H103" s="44" t="n"/>
      <c r="I103" s="44" t="n"/>
      <c r="J103" s="44" t="n"/>
      <c r="K103" s="41" t="n"/>
      <c r="L103" s="45" t="n"/>
      <c r="M103" s="46">
        <f>IF(K103="SL","Terecht",IF(K103="TP","Onterecht",""))</f>
        <v/>
      </c>
      <c r="N103" s="41" t="n"/>
    </row>
    <row r="104">
      <c r="B104" s="47" t="n"/>
      <c r="G104" s="48" t="n"/>
      <c r="H104" s="49" t="n"/>
      <c r="I104" s="49" t="n"/>
      <c r="J104" s="49" t="n"/>
      <c r="L104" s="50" t="n"/>
      <c r="M104" s="40">
        <f>IF(K104="SL","Terecht",IF(K104="TP","Onterecht",""))</f>
        <v/>
      </c>
    </row>
    <row r="105">
      <c r="A105" s="41" t="n"/>
      <c r="B105" s="42" t="n"/>
      <c r="C105" s="41" t="n"/>
      <c r="D105" s="41" t="n"/>
      <c r="E105" s="41" t="n"/>
      <c r="F105" s="41" t="n"/>
      <c r="G105" s="43" t="n"/>
      <c r="H105" s="44" t="n"/>
      <c r="I105" s="44" t="n"/>
      <c r="J105" s="44" t="n"/>
      <c r="K105" s="41" t="n"/>
      <c r="L105" s="45" t="n"/>
      <c r="M105" s="46">
        <f>IF(K105="SL","Terecht",IF(K105="TP","Onterecht",""))</f>
        <v/>
      </c>
      <c r="N105" s="41" t="n"/>
    </row>
    <row r="106">
      <c r="B106" s="47" t="n"/>
      <c r="G106" s="48" t="n"/>
      <c r="H106" s="49" t="n"/>
      <c r="I106" s="49" t="n"/>
      <c r="J106" s="49" t="n"/>
      <c r="L106" s="50" t="n"/>
      <c r="M106" s="40">
        <f>IF(K106="SL","Terecht",IF(K106="TP","Onterecht",""))</f>
        <v/>
      </c>
    </row>
    <row r="107">
      <c r="A107" s="41" t="n"/>
      <c r="B107" s="42" t="n"/>
      <c r="C107" s="41" t="n"/>
      <c r="D107" s="41" t="n"/>
      <c r="E107" s="41" t="n"/>
      <c r="F107" s="41" t="n"/>
      <c r="G107" s="43" t="n"/>
      <c r="H107" s="44" t="n"/>
      <c r="I107" s="44" t="n"/>
      <c r="J107" s="44" t="n"/>
      <c r="K107" s="41" t="n"/>
      <c r="L107" s="45" t="n"/>
      <c r="M107" s="46">
        <f>IF(K107="SL","Terecht",IF(K107="TP","Onterecht",""))</f>
        <v/>
      </c>
      <c r="N107" s="41" t="n"/>
    </row>
    <row r="108">
      <c r="B108" s="47" t="n"/>
      <c r="G108" s="48" t="n"/>
      <c r="H108" s="49" t="n"/>
      <c r="I108" s="49" t="n"/>
      <c r="J108" s="49" t="n"/>
      <c r="L108" s="50" t="n"/>
      <c r="M108" s="40">
        <f>IF(K108="SL","Terecht",IF(K108="TP","Onterecht",""))</f>
        <v/>
      </c>
    </row>
    <row r="109">
      <c r="A109" s="41" t="n"/>
      <c r="B109" s="42" t="n"/>
      <c r="C109" s="41" t="n"/>
      <c r="D109" s="41" t="n"/>
      <c r="E109" s="41" t="n"/>
      <c r="F109" s="41" t="n"/>
      <c r="G109" s="43" t="n"/>
      <c r="H109" s="44" t="n"/>
      <c r="I109" s="44" t="n"/>
      <c r="J109" s="44" t="n"/>
      <c r="K109" s="41" t="n"/>
      <c r="L109" s="45" t="n"/>
      <c r="M109" s="46">
        <f>IF(K109="SL","Terecht",IF(K109="TP","Onterecht",""))</f>
        <v/>
      </c>
      <c r="N109" s="41" t="n"/>
    </row>
    <row r="110">
      <c r="B110" s="47" t="n"/>
      <c r="G110" s="48" t="n"/>
      <c r="H110" s="49" t="n"/>
      <c r="I110" s="49" t="n"/>
      <c r="J110" s="49" t="n"/>
      <c r="L110" s="50" t="n"/>
      <c r="M110" s="40">
        <f>IF(K110="SL","Terecht",IF(K110="TP","Onterecht",""))</f>
        <v/>
      </c>
    </row>
    <row r="111">
      <c r="A111" s="41" t="n"/>
      <c r="B111" s="42" t="n"/>
      <c r="C111" s="41" t="n"/>
      <c r="D111" s="41" t="n"/>
      <c r="E111" s="41" t="n"/>
      <c r="F111" s="41" t="n"/>
      <c r="G111" s="43" t="n"/>
      <c r="H111" s="44" t="n"/>
      <c r="I111" s="44" t="n"/>
      <c r="J111" s="44" t="n"/>
      <c r="K111" s="41" t="n"/>
      <c r="L111" s="45" t="n"/>
      <c r="M111" s="46">
        <f>IF(K111="SL","Terecht",IF(K111="TP","Onterecht",""))</f>
        <v/>
      </c>
      <c r="N111" s="41" t="n"/>
    </row>
    <row r="112">
      <c r="B112" s="47" t="n"/>
      <c r="G112" s="48" t="n"/>
      <c r="H112" s="49" t="n"/>
      <c r="I112" s="49" t="n"/>
      <c r="J112" s="49" t="n"/>
      <c r="L112" s="50" t="n"/>
      <c r="M112" s="40">
        <f>IF(K112="SL","Terecht",IF(K112="TP","Onterecht",""))</f>
        <v/>
      </c>
    </row>
    <row r="113">
      <c r="A113" s="41" t="n"/>
      <c r="B113" s="42" t="n"/>
      <c r="C113" s="41" t="n"/>
      <c r="D113" s="41" t="n"/>
      <c r="E113" s="41" t="n"/>
      <c r="F113" s="41" t="n"/>
      <c r="G113" s="43" t="n"/>
      <c r="H113" s="44" t="n"/>
      <c r="I113" s="44" t="n"/>
      <c r="J113" s="44" t="n"/>
      <c r="K113" s="41" t="n"/>
      <c r="L113" s="45" t="n"/>
      <c r="M113" s="46">
        <f>IF(K113="SL","Terecht",IF(K113="TP","Onterecht",""))</f>
        <v/>
      </c>
      <c r="N113" s="41" t="n"/>
    </row>
    <row r="114">
      <c r="B114" s="47" t="n"/>
      <c r="G114" s="48" t="n"/>
      <c r="H114" s="49" t="n"/>
      <c r="I114" s="49" t="n"/>
      <c r="J114" s="49" t="n"/>
      <c r="L114" s="50" t="n"/>
      <c r="M114" s="40">
        <f>IF(K114="SL","Terecht",IF(K114="TP","Onterecht",""))</f>
        <v/>
      </c>
    </row>
    <row r="115">
      <c r="A115" s="41" t="n"/>
      <c r="B115" s="42" t="n"/>
      <c r="C115" s="41" t="n"/>
      <c r="D115" s="41" t="n"/>
      <c r="E115" s="41" t="n"/>
      <c r="F115" s="41" t="n"/>
      <c r="G115" s="43" t="n"/>
      <c r="H115" s="44" t="n"/>
      <c r="I115" s="44" t="n"/>
      <c r="J115" s="44" t="n"/>
      <c r="K115" s="41" t="n"/>
      <c r="L115" s="45" t="n"/>
      <c r="M115" s="46">
        <f>IF(K115="SL","Terecht",IF(K115="TP","Onterecht",""))</f>
        <v/>
      </c>
      <c r="N115" s="41" t="n"/>
    </row>
    <row r="116">
      <c r="B116" s="47" t="n"/>
      <c r="G116" s="48" t="n"/>
      <c r="H116" s="49" t="n"/>
      <c r="I116" s="49" t="n"/>
      <c r="J116" s="49" t="n"/>
      <c r="L116" s="50" t="n"/>
      <c r="M116" s="40">
        <f>IF(K116="SL","Terecht",IF(K116="TP","Onterecht",""))</f>
        <v/>
      </c>
    </row>
    <row r="117">
      <c r="A117" s="41" t="n"/>
      <c r="B117" s="42" t="n"/>
      <c r="C117" s="41" t="n"/>
      <c r="D117" s="41" t="n"/>
      <c r="E117" s="41" t="n"/>
      <c r="F117" s="41" t="n"/>
      <c r="G117" s="43" t="n"/>
      <c r="H117" s="44" t="n"/>
      <c r="I117" s="44" t="n"/>
      <c r="J117" s="44" t="n"/>
      <c r="K117" s="41" t="n"/>
      <c r="L117" s="45" t="n"/>
      <c r="M117" s="46">
        <f>IF(K117="SL","Terecht",IF(K117="TP","Onterecht",""))</f>
        <v/>
      </c>
      <c r="N117" s="41" t="n"/>
    </row>
    <row r="118">
      <c r="B118" s="47" t="n"/>
      <c r="G118" s="48" t="n"/>
      <c r="H118" s="49" t="n"/>
      <c r="I118" s="49" t="n"/>
      <c r="J118" s="49" t="n"/>
      <c r="L118" s="50" t="n"/>
      <c r="M118" s="40">
        <f>IF(K118="SL","Terecht",IF(K118="TP","Onterecht",""))</f>
        <v/>
      </c>
    </row>
    <row r="119">
      <c r="A119" s="41" t="n"/>
      <c r="B119" s="42" t="n"/>
      <c r="C119" s="41" t="n"/>
      <c r="D119" s="41" t="n"/>
      <c r="E119" s="41" t="n"/>
      <c r="F119" s="41" t="n"/>
      <c r="G119" s="43" t="n"/>
      <c r="H119" s="44" t="n"/>
      <c r="I119" s="44" t="n"/>
      <c r="J119" s="44" t="n"/>
      <c r="K119" s="41" t="n"/>
      <c r="L119" s="45" t="n"/>
      <c r="M119" s="46">
        <f>IF(K119="SL","Terecht",IF(K119="TP","Onterecht",""))</f>
        <v/>
      </c>
      <c r="N119" s="41" t="n"/>
    </row>
    <row r="120">
      <c r="B120" s="47" t="n"/>
      <c r="G120" s="48" t="n"/>
      <c r="H120" s="49" t="n"/>
      <c r="I120" s="49" t="n"/>
      <c r="J120" s="49" t="n"/>
      <c r="L120" s="50" t="n"/>
      <c r="M120" s="40">
        <f>IF(K120="SL","Terecht",IF(K120="TP","Onterecht",""))</f>
        <v/>
      </c>
    </row>
    <row r="121">
      <c r="A121" s="41" t="n"/>
      <c r="B121" s="42" t="n"/>
      <c r="C121" s="41" t="n"/>
      <c r="D121" s="41" t="n"/>
      <c r="E121" s="41" t="n"/>
      <c r="F121" s="41" t="n"/>
      <c r="G121" s="43" t="n"/>
      <c r="H121" s="44" t="n"/>
      <c r="I121" s="44" t="n"/>
      <c r="J121" s="44" t="n"/>
      <c r="K121" s="41" t="n"/>
      <c r="L121" s="45" t="n"/>
      <c r="M121" s="46">
        <f>IF(K121="SL","Terecht",IF(K121="TP","Onterecht",""))</f>
        <v/>
      </c>
      <c r="N121" s="41" t="n"/>
    </row>
    <row r="122">
      <c r="B122" s="47" t="n"/>
      <c r="G122" s="48" t="n"/>
      <c r="H122" s="49" t="n"/>
      <c r="I122" s="49" t="n"/>
      <c r="J122" s="49" t="n"/>
      <c r="L122" s="50" t="n"/>
      <c r="M122" s="40">
        <f>IF(K122="SL","Terecht",IF(K122="TP","Onterecht",""))</f>
        <v/>
      </c>
    </row>
    <row r="123">
      <c r="A123" s="41" t="n"/>
      <c r="B123" s="42" t="n"/>
      <c r="C123" s="41" t="n"/>
      <c r="D123" s="41" t="n"/>
      <c r="E123" s="41" t="n"/>
      <c r="F123" s="41" t="n"/>
      <c r="G123" s="43" t="n"/>
      <c r="H123" s="44" t="n"/>
      <c r="I123" s="44" t="n"/>
      <c r="J123" s="44" t="n"/>
      <c r="K123" s="41" t="n"/>
      <c r="L123" s="45" t="n"/>
      <c r="M123" s="46">
        <f>IF(K123="SL","Terecht",IF(K123="TP","Onterecht",""))</f>
        <v/>
      </c>
      <c r="N123" s="41" t="n"/>
    </row>
    <row r="124">
      <c r="B124" s="47" t="n"/>
      <c r="G124" s="48" t="n"/>
      <c r="H124" s="49" t="n"/>
      <c r="I124" s="49" t="n"/>
      <c r="J124" s="49" t="n"/>
      <c r="L124" s="50" t="n"/>
      <c r="M124" s="40">
        <f>IF(K124="SL","Terecht",IF(K124="TP","Onterecht",""))</f>
        <v/>
      </c>
    </row>
    <row r="125">
      <c r="A125" s="41" t="n"/>
      <c r="B125" s="42" t="n"/>
      <c r="C125" s="41" t="n"/>
      <c r="D125" s="41" t="n"/>
      <c r="E125" s="41" t="n"/>
      <c r="F125" s="41" t="n"/>
      <c r="G125" s="43" t="n"/>
      <c r="H125" s="44" t="n"/>
      <c r="I125" s="44" t="n"/>
      <c r="J125" s="44" t="n"/>
      <c r="K125" s="41" t="n"/>
      <c r="L125" s="45" t="n"/>
      <c r="M125" s="46">
        <f>IF(K125="SL","Terecht",IF(K125="TP","Onterecht",""))</f>
        <v/>
      </c>
      <c r="N125" s="41" t="n"/>
    </row>
    <row r="126">
      <c r="B126" s="47" t="n"/>
      <c r="G126" s="48" t="n"/>
      <c r="H126" s="49" t="n"/>
      <c r="I126" s="49" t="n"/>
      <c r="J126" s="49" t="n"/>
      <c r="L126" s="50" t="n"/>
      <c r="M126" s="40">
        <f>IF(K126="SL","Terecht",IF(K126="TP","Onterecht",""))</f>
        <v/>
      </c>
    </row>
    <row r="127">
      <c r="A127" s="41" t="n"/>
      <c r="B127" s="42" t="n"/>
      <c r="C127" s="41" t="n"/>
      <c r="D127" s="41" t="n"/>
      <c r="E127" s="41" t="n"/>
      <c r="F127" s="41" t="n"/>
      <c r="G127" s="43" t="n"/>
      <c r="H127" s="44" t="n"/>
      <c r="I127" s="44" t="n"/>
      <c r="J127" s="44" t="n"/>
      <c r="K127" s="41" t="n"/>
      <c r="L127" s="45" t="n"/>
      <c r="M127" s="46">
        <f>IF(K127="SL","Terecht",IF(K127="TP","Onterecht",""))</f>
        <v/>
      </c>
      <c r="N127" s="41" t="n"/>
    </row>
    <row r="128">
      <c r="B128" s="47" t="n"/>
      <c r="G128" s="48" t="n"/>
      <c r="H128" s="49" t="n"/>
      <c r="I128" s="49" t="n"/>
      <c r="J128" s="49" t="n"/>
      <c r="L128" s="50" t="n"/>
      <c r="M128" s="40">
        <f>IF(K128="SL","Terecht",IF(K128="TP","Onterecht",""))</f>
        <v/>
      </c>
    </row>
    <row r="129">
      <c r="A129" s="41" t="n"/>
      <c r="B129" s="42" t="n"/>
      <c r="C129" s="41" t="n"/>
      <c r="D129" s="41" t="n"/>
      <c r="E129" s="41" t="n"/>
      <c r="F129" s="41" t="n"/>
      <c r="G129" s="43" t="n"/>
      <c r="H129" s="44" t="n"/>
      <c r="I129" s="44" t="n"/>
      <c r="J129" s="44" t="n"/>
      <c r="K129" s="41" t="n"/>
      <c r="L129" s="45" t="n"/>
      <c r="M129" s="46">
        <f>IF(K129="SL","Terecht",IF(K129="TP","Onterecht",""))</f>
        <v/>
      </c>
      <c r="N129" s="41" t="n"/>
    </row>
    <row r="130">
      <c r="B130" s="47" t="n"/>
      <c r="G130" s="48" t="n"/>
      <c r="H130" s="49" t="n"/>
      <c r="I130" s="49" t="n"/>
      <c r="J130" s="49" t="n"/>
      <c r="L130" s="50" t="n"/>
      <c r="M130" s="40">
        <f>IF(K130="SL","Terecht",IF(K130="TP","Onterecht",""))</f>
        <v/>
      </c>
    </row>
    <row r="131">
      <c r="A131" s="41" t="n"/>
      <c r="B131" s="42" t="n"/>
      <c r="C131" s="41" t="n"/>
      <c r="D131" s="41" t="n"/>
      <c r="E131" s="41" t="n"/>
      <c r="F131" s="41" t="n"/>
      <c r="G131" s="43" t="n"/>
      <c r="H131" s="44" t="n"/>
      <c r="I131" s="44" t="n"/>
      <c r="J131" s="44" t="n"/>
      <c r="K131" s="41" t="n"/>
      <c r="L131" s="45" t="n"/>
      <c r="M131" s="46">
        <f>IF(K131="SL","Terecht",IF(K131="TP","Onterecht",""))</f>
        <v/>
      </c>
      <c r="N131" s="41" t="n"/>
    </row>
    <row r="132">
      <c r="B132" s="47" t="n"/>
      <c r="G132" s="48" t="n"/>
      <c r="H132" s="49" t="n"/>
      <c r="I132" s="49" t="n"/>
      <c r="J132" s="49" t="n"/>
      <c r="L132" s="50" t="n"/>
      <c r="M132" s="40">
        <f>IF(K132="SL","Terecht",IF(K132="TP","Onterecht",""))</f>
        <v/>
      </c>
    </row>
    <row r="133">
      <c r="A133" s="41" t="n"/>
      <c r="B133" s="42" t="n"/>
      <c r="C133" s="41" t="n"/>
      <c r="D133" s="41" t="n"/>
      <c r="E133" s="41" t="n"/>
      <c r="F133" s="41" t="n"/>
      <c r="G133" s="43" t="n"/>
      <c r="H133" s="44" t="n"/>
      <c r="I133" s="44" t="n"/>
      <c r="J133" s="44" t="n"/>
      <c r="K133" s="41" t="n"/>
      <c r="L133" s="45" t="n"/>
      <c r="M133" s="46">
        <f>IF(K133="SL","Terecht",IF(K133="TP","Onterecht",""))</f>
        <v/>
      </c>
      <c r="N133" s="41" t="n"/>
    </row>
    <row r="134">
      <c r="B134" s="47" t="n"/>
      <c r="G134" s="48" t="n"/>
      <c r="H134" s="49" t="n"/>
      <c r="I134" s="49" t="n"/>
      <c r="J134" s="49" t="n"/>
      <c r="L134" s="50" t="n"/>
      <c r="M134" s="40">
        <f>IF(K134="SL","Terecht",IF(K134="TP","Onterecht",""))</f>
        <v/>
      </c>
    </row>
    <row r="135">
      <c r="A135" s="41" t="n"/>
      <c r="B135" s="42" t="n"/>
      <c r="C135" s="41" t="n"/>
      <c r="D135" s="41" t="n"/>
      <c r="E135" s="41" t="n"/>
      <c r="F135" s="41" t="n"/>
      <c r="G135" s="43" t="n"/>
      <c r="H135" s="44" t="n"/>
      <c r="I135" s="44" t="n"/>
      <c r="J135" s="44" t="n"/>
      <c r="K135" s="41" t="n"/>
      <c r="L135" s="45" t="n"/>
      <c r="M135" s="46">
        <f>IF(K135="SL","Terecht",IF(K135="TP","Onterecht",""))</f>
        <v/>
      </c>
      <c r="N135" s="41" t="n"/>
    </row>
    <row r="136">
      <c r="B136" s="47" t="n"/>
      <c r="G136" s="48" t="n"/>
      <c r="H136" s="49" t="n"/>
      <c r="I136" s="49" t="n"/>
      <c r="J136" s="49" t="n"/>
      <c r="L136" s="50" t="n"/>
      <c r="M136" s="40">
        <f>IF(K136="SL","Terecht",IF(K136="TP","Onterecht",""))</f>
        <v/>
      </c>
    </row>
    <row r="137">
      <c r="A137" s="41" t="n"/>
      <c r="B137" s="42" t="n"/>
      <c r="C137" s="41" t="n"/>
      <c r="D137" s="41" t="n"/>
      <c r="E137" s="41" t="n"/>
      <c r="F137" s="41" t="n"/>
      <c r="G137" s="43" t="n"/>
      <c r="H137" s="44" t="n"/>
      <c r="I137" s="44" t="n"/>
      <c r="J137" s="44" t="n"/>
      <c r="K137" s="41" t="n"/>
      <c r="L137" s="45" t="n"/>
      <c r="M137" s="46">
        <f>IF(K137="SL","Terecht",IF(K137="TP","Onterecht",""))</f>
        <v/>
      </c>
      <c r="N137" s="41" t="n"/>
    </row>
    <row r="138">
      <c r="B138" s="47" t="n"/>
      <c r="G138" s="48" t="n"/>
      <c r="H138" s="49" t="n"/>
      <c r="I138" s="49" t="n"/>
      <c r="J138" s="49" t="n"/>
      <c r="L138" s="50" t="n"/>
      <c r="M138" s="40">
        <f>IF(K138="SL","Terecht",IF(K138="TP","Onterecht",""))</f>
        <v/>
      </c>
    </row>
    <row r="139">
      <c r="A139" s="41" t="n"/>
      <c r="B139" s="42" t="n"/>
      <c r="C139" s="41" t="n"/>
      <c r="D139" s="41" t="n"/>
      <c r="E139" s="41" t="n"/>
      <c r="F139" s="41" t="n"/>
      <c r="G139" s="43" t="n"/>
      <c r="H139" s="44" t="n"/>
      <c r="I139" s="44" t="n"/>
      <c r="J139" s="44" t="n"/>
      <c r="K139" s="41" t="n"/>
      <c r="L139" s="45" t="n"/>
      <c r="M139" s="46">
        <f>IF(K139="SL","Terecht",IF(K139="TP","Onterecht",""))</f>
        <v/>
      </c>
      <c r="N139" s="41" t="n"/>
    </row>
    <row r="140">
      <c r="B140" s="47" t="n"/>
      <c r="G140" s="48" t="n"/>
      <c r="H140" s="49" t="n"/>
      <c r="I140" s="49" t="n"/>
      <c r="J140" s="49" t="n"/>
      <c r="L140" s="50" t="n"/>
      <c r="M140" s="40">
        <f>IF(K140="SL","Terecht",IF(K140="TP","Onterecht",""))</f>
        <v/>
      </c>
    </row>
    <row r="141">
      <c r="A141" s="41" t="n"/>
      <c r="B141" s="42" t="n"/>
      <c r="C141" s="41" t="n"/>
      <c r="D141" s="41" t="n"/>
      <c r="E141" s="41" t="n"/>
      <c r="F141" s="41" t="n"/>
      <c r="G141" s="43" t="n"/>
      <c r="H141" s="44" t="n"/>
      <c r="I141" s="44" t="n"/>
      <c r="J141" s="44" t="n"/>
      <c r="K141" s="41" t="n"/>
      <c r="L141" s="45" t="n"/>
      <c r="M141" s="46">
        <f>IF(K141="SL","Terecht",IF(K141="TP","Onterecht",""))</f>
        <v/>
      </c>
      <c r="N141" s="41" t="n"/>
    </row>
    <row r="142">
      <c r="B142" s="47" t="n"/>
      <c r="G142" s="48" t="n"/>
      <c r="H142" s="49" t="n"/>
      <c r="I142" s="49" t="n"/>
      <c r="J142" s="49" t="n"/>
      <c r="L142" s="50" t="n"/>
      <c r="M142" s="40">
        <f>IF(K142="SL","Terecht",IF(K142="TP","Onterecht",""))</f>
        <v/>
      </c>
    </row>
    <row r="143">
      <c r="A143" s="41" t="n"/>
      <c r="B143" s="42" t="n"/>
      <c r="C143" s="41" t="n"/>
      <c r="D143" s="41" t="n"/>
      <c r="E143" s="41" t="n"/>
      <c r="F143" s="41" t="n"/>
      <c r="G143" s="43" t="n"/>
      <c r="H143" s="44" t="n"/>
      <c r="I143" s="44" t="n"/>
      <c r="J143" s="44" t="n"/>
      <c r="K143" s="41" t="n"/>
      <c r="L143" s="45" t="n"/>
      <c r="M143" s="46">
        <f>IF(K143="SL","Terecht",IF(K143="TP","Onterecht",""))</f>
        <v/>
      </c>
      <c r="N143" s="41" t="n"/>
    </row>
    <row r="144">
      <c r="B144" s="47" t="n"/>
      <c r="G144" s="48" t="n"/>
      <c r="H144" s="49" t="n"/>
      <c r="I144" s="49" t="n"/>
      <c r="J144" s="49" t="n"/>
      <c r="L144" s="50" t="n"/>
      <c r="M144" s="40">
        <f>IF(K144="SL","Terecht",IF(K144="TP","Onterecht",""))</f>
        <v/>
      </c>
    </row>
    <row r="145">
      <c r="A145" s="41" t="n"/>
      <c r="B145" s="42" t="n"/>
      <c r="C145" s="41" t="n"/>
      <c r="D145" s="41" t="n"/>
      <c r="E145" s="41" t="n"/>
      <c r="F145" s="41" t="n"/>
      <c r="G145" s="43" t="n"/>
      <c r="H145" s="44" t="n"/>
      <c r="I145" s="44" t="n"/>
      <c r="J145" s="44" t="n"/>
      <c r="K145" s="41" t="n"/>
      <c r="L145" s="45" t="n"/>
      <c r="M145" s="46">
        <f>IF(K145="SL","Terecht",IF(K145="TP","Onterecht",""))</f>
        <v/>
      </c>
      <c r="N145" s="41" t="n"/>
    </row>
    <row r="146">
      <c r="B146" s="47" t="n"/>
      <c r="G146" s="48" t="n"/>
      <c r="H146" s="49" t="n"/>
      <c r="I146" s="49" t="n"/>
      <c r="J146" s="49" t="n"/>
      <c r="L146" s="50" t="n"/>
      <c r="M146" s="40">
        <f>IF(K146="SL","Terecht",IF(K146="TP","Onterecht",""))</f>
        <v/>
      </c>
    </row>
    <row r="147">
      <c r="A147" s="41" t="n"/>
      <c r="B147" s="42" t="n"/>
      <c r="C147" s="41" t="n"/>
      <c r="D147" s="41" t="n"/>
      <c r="E147" s="41" t="n"/>
      <c r="F147" s="41" t="n"/>
      <c r="G147" s="43" t="n"/>
      <c r="H147" s="44" t="n"/>
      <c r="I147" s="44" t="n"/>
      <c r="J147" s="44" t="n"/>
      <c r="K147" s="41" t="n"/>
      <c r="L147" s="45" t="n"/>
      <c r="M147" s="46">
        <f>IF(K147="SL","Terecht",IF(K147="TP","Onterecht",""))</f>
        <v/>
      </c>
      <c r="N147" s="41" t="n"/>
    </row>
    <row r="148">
      <c r="B148" s="47" t="n"/>
      <c r="G148" s="48" t="n"/>
      <c r="H148" s="49" t="n"/>
      <c r="I148" s="49" t="n"/>
      <c r="J148" s="49" t="n"/>
      <c r="L148" s="50" t="n"/>
      <c r="M148" s="40">
        <f>IF(K148="SL","Terecht",IF(K148="TP","Onterecht",""))</f>
        <v/>
      </c>
    </row>
    <row r="149">
      <c r="A149" s="41" t="n"/>
      <c r="B149" s="42" t="n"/>
      <c r="C149" s="41" t="n"/>
      <c r="D149" s="41" t="n"/>
      <c r="E149" s="41" t="n"/>
      <c r="F149" s="41" t="n"/>
      <c r="G149" s="43" t="n"/>
      <c r="H149" s="44" t="n"/>
      <c r="I149" s="44" t="n"/>
      <c r="J149" s="44" t="n"/>
      <c r="K149" s="41" t="n"/>
      <c r="L149" s="45" t="n"/>
      <c r="M149" s="46">
        <f>IF(K149="SL","Terecht",IF(K149="TP","Onterecht",""))</f>
        <v/>
      </c>
      <c r="N149" s="41" t="n"/>
    </row>
    <row r="150">
      <c r="B150" s="47" t="n"/>
      <c r="G150" s="48" t="n"/>
      <c r="H150" s="49" t="n"/>
      <c r="I150" s="49" t="n"/>
      <c r="J150" s="49" t="n"/>
      <c r="L150" s="50" t="n"/>
      <c r="M150" s="40">
        <f>IF(K150="SL","Terecht",IF(K150="TP","Onterecht",""))</f>
        <v/>
      </c>
    </row>
    <row r="151">
      <c r="A151" s="41" t="n"/>
      <c r="B151" s="42" t="n"/>
      <c r="C151" s="41" t="n"/>
      <c r="D151" s="41" t="n"/>
      <c r="E151" s="41" t="n"/>
      <c r="F151" s="41" t="n"/>
      <c r="G151" s="43" t="n"/>
      <c r="H151" s="44" t="n"/>
      <c r="I151" s="44" t="n"/>
      <c r="J151" s="44" t="n"/>
      <c r="K151" s="41" t="n"/>
      <c r="L151" s="45" t="n"/>
      <c r="M151" s="46">
        <f>IF(K151="SL","Terecht",IF(K151="TP","Onterecht",""))</f>
        <v/>
      </c>
      <c r="N151" s="41" t="n"/>
    </row>
    <row r="152">
      <c r="B152" s="47" t="n"/>
      <c r="G152" s="48" t="n"/>
      <c r="H152" s="49" t="n"/>
      <c r="I152" s="49" t="n"/>
      <c r="J152" s="49" t="n"/>
      <c r="L152" s="50" t="n"/>
      <c r="M152" s="40">
        <f>IF(K152="SL","Terecht",IF(K152="TP","Onterecht",""))</f>
        <v/>
      </c>
    </row>
    <row r="153">
      <c r="A153" s="41" t="n"/>
      <c r="B153" s="42" t="n"/>
      <c r="C153" s="41" t="n"/>
      <c r="D153" s="41" t="n"/>
      <c r="E153" s="41" t="n"/>
      <c r="F153" s="41" t="n"/>
      <c r="G153" s="43" t="n"/>
      <c r="H153" s="44" t="n"/>
      <c r="I153" s="44" t="n"/>
      <c r="J153" s="44" t="n"/>
      <c r="K153" s="41" t="n"/>
      <c r="L153" s="45" t="n"/>
      <c r="M153" s="46">
        <f>IF(K153="SL","Terecht",IF(K153="TP","Onterecht",""))</f>
        <v/>
      </c>
      <c r="N153" s="41" t="n"/>
    </row>
    <row r="154">
      <c r="B154" s="47" t="n"/>
      <c r="G154" s="48" t="n"/>
      <c r="H154" s="49" t="n"/>
      <c r="I154" s="49" t="n"/>
      <c r="J154" s="49" t="n"/>
      <c r="L154" s="50" t="n"/>
      <c r="M154" s="40">
        <f>IF(K154="SL","Terecht",IF(K154="TP","Onterecht",""))</f>
        <v/>
      </c>
    </row>
    <row r="155">
      <c r="A155" s="41" t="n"/>
      <c r="B155" s="42" t="n"/>
      <c r="C155" s="41" t="n"/>
      <c r="D155" s="41" t="n"/>
      <c r="E155" s="41" t="n"/>
      <c r="F155" s="41" t="n"/>
      <c r="G155" s="43" t="n"/>
      <c r="H155" s="44" t="n"/>
      <c r="I155" s="44" t="n"/>
      <c r="J155" s="44" t="n"/>
      <c r="K155" s="41" t="n"/>
      <c r="L155" s="45" t="n"/>
      <c r="M155" s="46">
        <f>IF(K155="SL","Terecht",IF(K155="TP","Onterecht",""))</f>
        <v/>
      </c>
      <c r="N155" s="41" t="n"/>
    </row>
    <row r="156">
      <c r="B156" s="47" t="n"/>
      <c r="G156" s="48" t="n"/>
      <c r="H156" s="49" t="n"/>
      <c r="I156" s="49" t="n"/>
      <c r="J156" s="49" t="n"/>
      <c r="L156" s="50" t="n"/>
      <c r="M156" s="40">
        <f>IF(K156="SL","Terecht",IF(K156="TP","Onterecht",""))</f>
        <v/>
      </c>
    </row>
    <row r="157">
      <c r="A157" s="41" t="n"/>
      <c r="B157" s="42" t="n"/>
      <c r="C157" s="41" t="n"/>
      <c r="D157" s="41" t="n"/>
      <c r="E157" s="41" t="n"/>
      <c r="F157" s="41" t="n"/>
      <c r="G157" s="43" t="n"/>
      <c r="H157" s="44" t="n"/>
      <c r="I157" s="44" t="n"/>
      <c r="J157" s="44" t="n"/>
      <c r="K157" s="41" t="n"/>
      <c r="L157" s="45" t="n"/>
      <c r="M157" s="46">
        <f>IF(K157="SL","Terecht",IF(K157="TP","Onterecht",""))</f>
        <v/>
      </c>
      <c r="N157" s="41" t="n"/>
    </row>
    <row r="158">
      <c r="B158" s="47" t="n"/>
      <c r="G158" s="48" t="n"/>
      <c r="H158" s="49" t="n"/>
      <c r="I158" s="49" t="n"/>
      <c r="J158" s="49" t="n"/>
      <c r="L158" s="50" t="n"/>
      <c r="M158" s="40">
        <f>IF(K158="SL","Terecht",IF(K158="TP","Onterecht",""))</f>
        <v/>
      </c>
    </row>
    <row r="159">
      <c r="A159" s="41" t="n"/>
      <c r="B159" s="42" t="n"/>
      <c r="C159" s="41" t="n"/>
      <c r="D159" s="41" t="n"/>
      <c r="E159" s="41" t="n"/>
      <c r="F159" s="41" t="n"/>
      <c r="G159" s="43" t="n"/>
      <c r="H159" s="44" t="n"/>
      <c r="I159" s="44" t="n"/>
      <c r="J159" s="44" t="n"/>
      <c r="K159" s="41" t="n"/>
      <c r="L159" s="45" t="n"/>
      <c r="M159" s="46">
        <f>IF(K159="SL","Terecht",IF(K159="TP","Onterecht",""))</f>
        <v/>
      </c>
      <c r="N159" s="41" t="n"/>
    </row>
    <row r="160">
      <c r="B160" s="47" t="n"/>
      <c r="G160" s="48" t="n"/>
      <c r="H160" s="49" t="n"/>
      <c r="I160" s="49" t="n"/>
      <c r="J160" s="49" t="n"/>
      <c r="L160" s="50" t="n"/>
      <c r="M160" s="40">
        <f>IF(K160="SL","Terecht",IF(K160="TP","Onterecht",""))</f>
        <v/>
      </c>
    </row>
    <row r="161">
      <c r="A161" s="41" t="n"/>
      <c r="B161" s="42" t="n"/>
      <c r="C161" s="41" t="n"/>
      <c r="D161" s="41" t="n"/>
      <c r="E161" s="41" t="n"/>
      <c r="F161" s="41" t="n"/>
      <c r="G161" s="43" t="n"/>
      <c r="H161" s="44" t="n"/>
      <c r="I161" s="44" t="n"/>
      <c r="J161" s="44" t="n"/>
      <c r="K161" s="41" t="n"/>
      <c r="L161" s="45" t="n"/>
      <c r="M161" s="46">
        <f>IF(K161="SL","Terecht",IF(K161="TP","Onterecht",""))</f>
        <v/>
      </c>
      <c r="N161" s="41" t="n"/>
    </row>
    <row r="162">
      <c r="B162" s="47" t="n"/>
      <c r="G162" s="48" t="n"/>
      <c r="H162" s="49" t="n"/>
      <c r="I162" s="49" t="n"/>
      <c r="J162" s="49" t="n"/>
      <c r="L162" s="50" t="n"/>
      <c r="M162" s="40">
        <f>IF(K162="SL","Terecht",IF(K162="TP","Onterecht",""))</f>
        <v/>
      </c>
    </row>
    <row r="163">
      <c r="A163" s="41" t="n"/>
      <c r="B163" s="42" t="n"/>
      <c r="C163" s="41" t="n"/>
      <c r="D163" s="41" t="n"/>
      <c r="E163" s="41" t="n"/>
      <c r="F163" s="41" t="n"/>
      <c r="G163" s="43" t="n"/>
      <c r="H163" s="44" t="n"/>
      <c r="I163" s="44" t="n"/>
      <c r="J163" s="44" t="n"/>
      <c r="K163" s="41" t="n"/>
      <c r="L163" s="45" t="n"/>
      <c r="M163" s="46">
        <f>IF(K163="SL","Terecht",IF(K163="TP","Onterecht",""))</f>
        <v/>
      </c>
      <c r="N163" s="41" t="n"/>
    </row>
    <row r="164">
      <c r="B164" s="47" t="n"/>
      <c r="G164" s="48" t="n"/>
      <c r="H164" s="49" t="n"/>
      <c r="I164" s="49" t="n"/>
      <c r="J164" s="49" t="n"/>
      <c r="L164" s="50" t="n"/>
      <c r="M164" s="40">
        <f>IF(K164="SL","Terecht",IF(K164="TP","Onterecht",""))</f>
        <v/>
      </c>
    </row>
    <row r="165">
      <c r="A165" s="41" t="n"/>
      <c r="B165" s="42" t="n"/>
      <c r="C165" s="41" t="n"/>
      <c r="D165" s="41" t="n"/>
      <c r="E165" s="41" t="n"/>
      <c r="F165" s="41" t="n"/>
      <c r="G165" s="43" t="n"/>
      <c r="H165" s="44" t="n"/>
      <c r="I165" s="44" t="n"/>
      <c r="J165" s="44" t="n"/>
      <c r="K165" s="41" t="n"/>
      <c r="L165" s="45" t="n"/>
      <c r="M165" s="46">
        <f>IF(K165="SL","Terecht",IF(K165="TP","Onterecht",""))</f>
        <v/>
      </c>
      <c r="N165" s="41" t="n"/>
    </row>
    <row r="166">
      <c r="B166" s="47" t="n"/>
      <c r="G166" s="48" t="n"/>
      <c r="H166" s="49" t="n"/>
      <c r="I166" s="49" t="n"/>
      <c r="J166" s="49" t="n"/>
      <c r="L166" s="50" t="n"/>
      <c r="M166" s="40">
        <f>IF(K166="SL","Terecht",IF(K166="TP","Onterecht",""))</f>
        <v/>
      </c>
    </row>
    <row r="167">
      <c r="A167" s="41" t="n"/>
      <c r="B167" s="42" t="n"/>
      <c r="C167" s="41" t="n"/>
      <c r="D167" s="41" t="n"/>
      <c r="E167" s="41" t="n"/>
      <c r="F167" s="41" t="n"/>
      <c r="G167" s="43" t="n"/>
      <c r="H167" s="44" t="n"/>
      <c r="I167" s="44" t="n"/>
      <c r="J167" s="44" t="n"/>
      <c r="K167" s="41" t="n"/>
      <c r="L167" s="45" t="n"/>
      <c r="M167" s="46">
        <f>IF(K167="SL","Terecht",IF(K167="TP","Onterecht",""))</f>
        <v/>
      </c>
      <c r="N167" s="41" t="n"/>
    </row>
    <row r="168">
      <c r="B168" s="47" t="n"/>
      <c r="G168" s="48" t="n"/>
      <c r="H168" s="49" t="n"/>
      <c r="I168" s="49" t="n"/>
      <c r="J168" s="49" t="n"/>
      <c r="L168" s="50" t="n"/>
      <c r="M168" s="40">
        <f>IF(K168="SL","Terecht",IF(K168="TP","Onterecht",""))</f>
        <v/>
      </c>
    </row>
    <row r="169">
      <c r="A169" s="41" t="n"/>
      <c r="B169" s="42" t="n"/>
      <c r="C169" s="41" t="n"/>
      <c r="D169" s="41" t="n"/>
      <c r="E169" s="41" t="n"/>
      <c r="F169" s="41" t="n"/>
      <c r="G169" s="43" t="n"/>
      <c r="H169" s="44" t="n"/>
      <c r="I169" s="44" t="n"/>
      <c r="J169" s="44" t="n"/>
      <c r="K169" s="41" t="n"/>
      <c r="L169" s="45" t="n"/>
      <c r="M169" s="46">
        <f>IF(K169="SL","Terecht",IF(K169="TP","Onterecht",""))</f>
        <v/>
      </c>
      <c r="N169" s="41" t="n"/>
    </row>
    <row r="170">
      <c r="B170" s="47" t="n"/>
      <c r="G170" s="48" t="n"/>
      <c r="H170" s="49" t="n"/>
      <c r="I170" s="49" t="n"/>
      <c r="J170" s="49" t="n"/>
      <c r="L170" s="50" t="n"/>
      <c r="M170" s="40">
        <f>IF(K170="SL","Terecht",IF(K170="TP","Onterecht",""))</f>
        <v/>
      </c>
    </row>
    <row r="171">
      <c r="A171" s="41" t="n"/>
      <c r="B171" s="42" t="n"/>
      <c r="C171" s="41" t="n"/>
      <c r="D171" s="41" t="n"/>
      <c r="E171" s="41" t="n"/>
      <c r="F171" s="41" t="n"/>
      <c r="G171" s="43" t="n"/>
      <c r="H171" s="44" t="n"/>
      <c r="I171" s="44" t="n"/>
      <c r="J171" s="44" t="n"/>
      <c r="K171" s="41" t="n"/>
      <c r="L171" s="45" t="n"/>
      <c r="M171" s="46">
        <f>IF(K171="SL","Terecht",IF(K171="TP","Onterecht",""))</f>
        <v/>
      </c>
      <c r="N171" s="41" t="n"/>
    </row>
    <row r="172">
      <c r="B172" s="47" t="n"/>
      <c r="G172" s="48" t="n"/>
      <c r="H172" s="49" t="n"/>
      <c r="I172" s="49" t="n"/>
      <c r="J172" s="49" t="n"/>
      <c r="L172" s="50" t="n"/>
      <c r="M172" s="40">
        <f>IF(K172="SL","Terecht",IF(K172="TP","Onterecht",""))</f>
        <v/>
      </c>
    </row>
    <row r="173">
      <c r="A173" s="41" t="n"/>
      <c r="B173" s="42" t="n"/>
      <c r="C173" s="41" t="n"/>
      <c r="D173" s="41" t="n"/>
      <c r="E173" s="41" t="n"/>
      <c r="F173" s="41" t="n"/>
      <c r="G173" s="43" t="n"/>
      <c r="H173" s="44" t="n"/>
      <c r="I173" s="44" t="n"/>
      <c r="J173" s="44" t="n"/>
      <c r="K173" s="41" t="n"/>
      <c r="L173" s="45" t="n"/>
      <c r="M173" s="46">
        <f>IF(K173="SL","Terecht",IF(K173="TP","Onterecht",""))</f>
        <v/>
      </c>
      <c r="N173" s="41" t="n"/>
    </row>
    <row r="174">
      <c r="B174" s="47" t="n"/>
      <c r="G174" s="48" t="n"/>
      <c r="H174" s="49" t="n"/>
      <c r="I174" s="49" t="n"/>
      <c r="J174" s="49" t="n"/>
      <c r="L174" s="50" t="n"/>
      <c r="M174" s="40">
        <f>IF(K174="SL","Terecht",IF(K174="TP","Onterecht",""))</f>
        <v/>
      </c>
    </row>
    <row r="175">
      <c r="A175" s="41" t="n"/>
      <c r="B175" s="42" t="n"/>
      <c r="C175" s="41" t="n"/>
      <c r="D175" s="41" t="n"/>
      <c r="E175" s="41" t="n"/>
      <c r="F175" s="41" t="n"/>
      <c r="G175" s="43" t="n"/>
      <c r="H175" s="44" t="n"/>
      <c r="I175" s="44" t="n"/>
      <c r="J175" s="44" t="n"/>
      <c r="K175" s="41" t="n"/>
      <c r="L175" s="45" t="n"/>
      <c r="M175" s="46">
        <f>IF(K175="SL","Terecht",IF(K175="TP","Onterecht",""))</f>
        <v/>
      </c>
      <c r="N175" s="41" t="n"/>
    </row>
    <row r="176">
      <c r="B176" s="47" t="n"/>
      <c r="G176" s="48" t="n"/>
      <c r="H176" s="49" t="n"/>
      <c r="I176" s="49" t="n"/>
      <c r="J176" s="49" t="n"/>
      <c r="L176" s="50" t="n"/>
      <c r="M176" s="40">
        <f>IF(K176="SL","Terecht",IF(K176="TP","Onterecht",""))</f>
        <v/>
      </c>
    </row>
    <row r="177">
      <c r="A177" s="41" t="n"/>
      <c r="B177" s="42" t="n"/>
      <c r="C177" s="41" t="n"/>
      <c r="D177" s="41" t="n"/>
      <c r="E177" s="41" t="n"/>
      <c r="F177" s="41" t="n"/>
      <c r="G177" s="43" t="n"/>
      <c r="H177" s="44" t="n"/>
      <c r="I177" s="44" t="n"/>
      <c r="J177" s="44" t="n"/>
      <c r="K177" s="41" t="n"/>
      <c r="L177" s="45" t="n"/>
      <c r="M177" s="46">
        <f>IF(K177="SL","Terecht",IF(K177="TP","Onterecht",""))</f>
        <v/>
      </c>
      <c r="N177" s="41" t="n"/>
    </row>
    <row r="178">
      <c r="B178" s="47" t="n"/>
      <c r="G178" s="48" t="n"/>
      <c r="H178" s="49" t="n"/>
      <c r="I178" s="49" t="n"/>
      <c r="J178" s="49" t="n"/>
      <c r="L178" s="50" t="n"/>
      <c r="M178" s="40">
        <f>IF(K178="SL","Terecht",IF(K178="TP","Onterecht",""))</f>
        <v/>
      </c>
    </row>
    <row r="179">
      <c r="A179" s="41" t="n"/>
      <c r="B179" s="42" t="n"/>
      <c r="C179" s="41" t="n"/>
      <c r="D179" s="41" t="n"/>
      <c r="E179" s="41" t="n"/>
      <c r="F179" s="41" t="n"/>
      <c r="G179" s="43" t="n"/>
      <c r="H179" s="44" t="n"/>
      <c r="I179" s="44" t="n"/>
      <c r="J179" s="44" t="n"/>
      <c r="K179" s="41" t="n"/>
      <c r="L179" s="45" t="n"/>
      <c r="M179" s="46">
        <f>IF(K179="SL","Terecht",IF(K179="TP","Onterecht",""))</f>
        <v/>
      </c>
      <c r="N179" s="41" t="n"/>
    </row>
    <row r="180">
      <c r="B180" s="47" t="n"/>
      <c r="G180" s="48" t="n"/>
      <c r="H180" s="49" t="n"/>
      <c r="I180" s="49" t="n"/>
      <c r="J180" s="49" t="n"/>
      <c r="L180" s="50" t="n"/>
      <c r="M180" s="40">
        <f>IF(K180="SL","Terecht",IF(K180="TP","Onterecht",""))</f>
        <v/>
      </c>
    </row>
    <row r="181">
      <c r="A181" s="41" t="n"/>
      <c r="B181" s="42" t="n"/>
      <c r="C181" s="41" t="n"/>
      <c r="D181" s="41" t="n"/>
      <c r="E181" s="41" t="n"/>
      <c r="F181" s="41" t="n"/>
      <c r="G181" s="43" t="n"/>
      <c r="H181" s="44" t="n"/>
      <c r="I181" s="44" t="n"/>
      <c r="J181" s="44" t="n"/>
      <c r="K181" s="41" t="n"/>
      <c r="L181" s="45" t="n"/>
      <c r="M181" s="46">
        <f>IF(K181="SL","Terecht",IF(K181="TP","Onterecht",""))</f>
        <v/>
      </c>
      <c r="N181" s="41" t="n"/>
    </row>
    <row r="182">
      <c r="B182" s="47" t="n"/>
      <c r="G182" s="48" t="n"/>
      <c r="H182" s="49" t="n"/>
      <c r="I182" s="49" t="n"/>
      <c r="J182" s="49" t="n"/>
      <c r="L182" s="50" t="n"/>
      <c r="M182" s="40">
        <f>IF(K182="SL","Terecht",IF(K182="TP","Onterecht",""))</f>
        <v/>
      </c>
    </row>
    <row r="183">
      <c r="A183" s="41" t="n"/>
      <c r="B183" s="42" t="n"/>
      <c r="C183" s="41" t="n"/>
      <c r="D183" s="41" t="n"/>
      <c r="E183" s="41" t="n"/>
      <c r="F183" s="41" t="n"/>
      <c r="G183" s="43" t="n"/>
      <c r="H183" s="44" t="n"/>
      <c r="I183" s="44" t="n"/>
      <c r="J183" s="44" t="n"/>
      <c r="K183" s="41" t="n"/>
      <c r="L183" s="45" t="n"/>
      <c r="M183" s="46">
        <f>IF(K183="SL","Terecht",IF(K183="TP","Onterecht",""))</f>
        <v/>
      </c>
      <c r="N183" s="41" t="n"/>
    </row>
    <row r="184">
      <c r="B184" s="47" t="n"/>
      <c r="G184" s="48" t="n"/>
      <c r="H184" s="49" t="n"/>
      <c r="I184" s="49" t="n"/>
      <c r="J184" s="49" t="n"/>
      <c r="L184" s="50" t="n"/>
      <c r="M184" s="40">
        <f>IF(K184="SL","Terecht",IF(K184="TP","Onterecht",""))</f>
        <v/>
      </c>
    </row>
    <row r="185">
      <c r="A185" s="41" t="n"/>
      <c r="B185" s="42" t="n"/>
      <c r="C185" s="41" t="n"/>
      <c r="D185" s="41" t="n"/>
      <c r="E185" s="41" t="n"/>
      <c r="F185" s="41" t="n"/>
      <c r="G185" s="43" t="n"/>
      <c r="H185" s="44" t="n"/>
      <c r="I185" s="44" t="n"/>
      <c r="J185" s="44" t="n"/>
      <c r="K185" s="41" t="n"/>
      <c r="L185" s="45" t="n"/>
      <c r="M185" s="46">
        <f>IF(K185="SL","Terecht",IF(K185="TP","Onterecht",""))</f>
        <v/>
      </c>
      <c r="N185" s="41" t="n"/>
    </row>
    <row r="186">
      <c r="B186" s="47" t="n"/>
      <c r="G186" s="48" t="n"/>
      <c r="H186" s="49" t="n"/>
      <c r="I186" s="49" t="n"/>
      <c r="J186" s="49" t="n"/>
      <c r="L186" s="50" t="n"/>
      <c r="M186" s="40">
        <f>IF(K186="SL","Terecht",IF(K186="TP","Onterecht",""))</f>
        <v/>
      </c>
    </row>
    <row r="187">
      <c r="A187" s="41" t="n"/>
      <c r="B187" s="42" t="n"/>
      <c r="C187" s="41" t="n"/>
      <c r="D187" s="41" t="n"/>
      <c r="E187" s="41" t="n"/>
      <c r="F187" s="41" t="n"/>
      <c r="G187" s="43" t="n"/>
      <c r="H187" s="44" t="n"/>
      <c r="I187" s="44" t="n"/>
      <c r="J187" s="44" t="n"/>
      <c r="K187" s="41" t="n"/>
      <c r="L187" s="45" t="n"/>
      <c r="M187" s="46">
        <f>IF(K187="SL","Terecht",IF(K187="TP","Onterecht",""))</f>
        <v/>
      </c>
      <c r="N187" s="41" t="n"/>
    </row>
    <row r="188">
      <c r="B188" s="47" t="n"/>
      <c r="G188" s="48" t="n"/>
      <c r="H188" s="49" t="n"/>
      <c r="I188" s="49" t="n"/>
      <c r="J188" s="49" t="n"/>
      <c r="L188" s="50" t="n"/>
      <c r="M188" s="40">
        <f>IF(K188="SL","Terecht",IF(K188="TP","Onterecht",""))</f>
        <v/>
      </c>
    </row>
    <row r="189">
      <c r="A189" s="41" t="n"/>
      <c r="B189" s="42" t="n"/>
      <c r="C189" s="41" t="n"/>
      <c r="D189" s="41" t="n"/>
      <c r="E189" s="41" t="n"/>
      <c r="F189" s="41" t="n"/>
      <c r="G189" s="43" t="n"/>
      <c r="H189" s="44" t="n"/>
      <c r="I189" s="44" t="n"/>
      <c r="J189" s="44" t="n"/>
      <c r="K189" s="41" t="n"/>
      <c r="L189" s="45" t="n"/>
      <c r="M189" s="46">
        <f>IF(K189="SL","Terecht",IF(K189="TP","Onterecht",""))</f>
        <v/>
      </c>
      <c r="N189" s="41" t="n"/>
    </row>
    <row r="190">
      <c r="B190" s="47" t="n"/>
      <c r="G190" s="48" t="n"/>
      <c r="H190" s="49" t="n"/>
      <c r="I190" s="49" t="n"/>
      <c r="J190" s="49" t="n"/>
      <c r="L190" s="50" t="n"/>
      <c r="M190" s="40">
        <f>IF(K190="SL","Terecht",IF(K190="TP","Onterecht",""))</f>
        <v/>
      </c>
    </row>
    <row r="191">
      <c r="A191" s="41" t="n"/>
      <c r="B191" s="42" t="n"/>
      <c r="C191" s="41" t="n"/>
      <c r="D191" s="41" t="n"/>
      <c r="E191" s="41" t="n"/>
      <c r="F191" s="41" t="n"/>
      <c r="G191" s="43" t="n"/>
      <c r="H191" s="44" t="n"/>
      <c r="I191" s="44" t="n"/>
      <c r="J191" s="44" t="n"/>
      <c r="K191" s="41" t="n"/>
      <c r="L191" s="45" t="n"/>
      <c r="M191" s="46">
        <f>IF(K191="SL","Terecht",IF(K191="TP","Onterecht",""))</f>
        <v/>
      </c>
      <c r="N191" s="41" t="n"/>
    </row>
    <row r="192">
      <c r="B192" s="47" t="n"/>
      <c r="G192" s="48" t="n"/>
      <c r="H192" s="49" t="n"/>
      <c r="I192" s="49" t="n"/>
      <c r="J192" s="49" t="n"/>
      <c r="L192" s="50" t="n"/>
      <c r="M192" s="40">
        <f>IF(K192="SL","Terecht",IF(K192="TP","Onterecht",""))</f>
        <v/>
      </c>
    </row>
    <row r="193">
      <c r="A193" s="41" t="n"/>
      <c r="B193" s="42" t="n"/>
      <c r="C193" s="41" t="n"/>
      <c r="D193" s="41" t="n"/>
      <c r="E193" s="41" t="n"/>
      <c r="F193" s="41" t="n"/>
      <c r="G193" s="43" t="n"/>
      <c r="H193" s="44" t="n"/>
      <c r="I193" s="44" t="n"/>
      <c r="J193" s="44" t="n"/>
      <c r="K193" s="41" t="n"/>
      <c r="L193" s="45" t="n"/>
      <c r="M193" s="46">
        <f>IF(K193="SL","Terecht",IF(K193="TP","Onterecht",""))</f>
        <v/>
      </c>
      <c r="N193" s="41" t="n"/>
    </row>
    <row r="194">
      <c r="B194" s="47" t="n"/>
      <c r="G194" s="48" t="n"/>
      <c r="H194" s="49" t="n"/>
      <c r="I194" s="49" t="n"/>
      <c r="J194" s="49" t="n"/>
      <c r="L194" s="50" t="n"/>
      <c r="M194" s="40">
        <f>IF(K194="SL","Terecht",IF(K194="TP","Onterecht",""))</f>
        <v/>
      </c>
    </row>
    <row r="195">
      <c r="A195" s="41" t="n"/>
      <c r="B195" s="42" t="n"/>
      <c r="C195" s="41" t="n"/>
      <c r="D195" s="41" t="n"/>
      <c r="E195" s="41" t="n"/>
      <c r="F195" s="41" t="n"/>
      <c r="G195" s="43" t="n"/>
      <c r="H195" s="44" t="n"/>
      <c r="I195" s="44" t="n"/>
      <c r="J195" s="44" t="n"/>
      <c r="K195" s="41" t="n"/>
      <c r="L195" s="45" t="n"/>
      <c r="M195" s="46">
        <f>IF(K195="SL","Terecht",IF(K195="TP","Onterecht",""))</f>
        <v/>
      </c>
      <c r="N195" s="41" t="n"/>
    </row>
    <row r="196">
      <c r="B196" s="47" t="n"/>
      <c r="G196" s="48" t="n"/>
      <c r="H196" s="49" t="n"/>
      <c r="I196" s="49" t="n"/>
      <c r="J196" s="49" t="n"/>
      <c r="L196" s="50" t="n"/>
      <c r="M196" s="40">
        <f>IF(K196="SL","Terecht",IF(K196="TP","Onterecht",""))</f>
        <v/>
      </c>
    </row>
    <row r="197">
      <c r="A197" s="41" t="n"/>
      <c r="B197" s="42" t="n"/>
      <c r="C197" s="41" t="n"/>
      <c r="D197" s="41" t="n"/>
      <c r="E197" s="41" t="n"/>
      <c r="F197" s="41" t="n"/>
      <c r="G197" s="43" t="n"/>
      <c r="H197" s="44" t="n"/>
      <c r="I197" s="44" t="n"/>
      <c r="J197" s="44" t="n"/>
      <c r="K197" s="41" t="n"/>
      <c r="L197" s="45" t="n"/>
      <c r="M197" s="46">
        <f>IF(K197="SL","Terecht",IF(K197="TP","Onterecht",""))</f>
        <v/>
      </c>
      <c r="N197" s="41" t="n"/>
    </row>
    <row r="198">
      <c r="B198" s="47" t="n"/>
      <c r="G198" s="48" t="n"/>
      <c r="H198" s="49" t="n"/>
      <c r="I198" s="49" t="n"/>
      <c r="J198" s="49" t="n"/>
      <c r="L198" s="50" t="n"/>
      <c r="M198" s="40">
        <f>IF(K198="SL","Terecht",IF(K198="TP","Onterecht",""))</f>
        <v/>
      </c>
    </row>
    <row r="199">
      <c r="A199" s="41" t="n"/>
      <c r="B199" s="42" t="n"/>
      <c r="C199" s="41" t="n"/>
      <c r="D199" s="41" t="n"/>
      <c r="E199" s="41" t="n"/>
      <c r="F199" s="41" t="n"/>
      <c r="G199" s="43" t="n"/>
      <c r="H199" s="44" t="n"/>
      <c r="I199" s="44" t="n"/>
      <c r="J199" s="44" t="n"/>
      <c r="K199" s="41" t="n"/>
      <c r="L199" s="45" t="n"/>
      <c r="M199" s="46">
        <f>IF(K199="SL","Terecht",IF(K199="TP","Onterecht",""))</f>
        <v/>
      </c>
      <c r="N199" s="41" t="n"/>
    </row>
    <row r="200">
      <c r="B200" s="47" t="n"/>
      <c r="G200" s="48" t="n"/>
      <c r="H200" s="49" t="n"/>
      <c r="I200" s="49" t="n"/>
      <c r="J200" s="49" t="n"/>
      <c r="L200" s="50" t="n"/>
      <c r="M200" s="40">
        <f>IF(K200="SL","Terecht",IF(K200="TP","Onterecht",""))</f>
        <v/>
      </c>
    </row>
    <row r="201">
      <c r="A201" s="41" t="n"/>
      <c r="B201" s="42" t="n"/>
      <c r="C201" s="41" t="n"/>
      <c r="D201" s="41" t="n"/>
      <c r="E201" s="41" t="n"/>
      <c r="F201" s="41" t="n"/>
      <c r="G201" s="43" t="n"/>
      <c r="H201" s="44" t="n"/>
      <c r="I201" s="44" t="n"/>
      <c r="J201" s="44" t="n"/>
      <c r="K201" s="41" t="n"/>
      <c r="L201" s="45" t="n"/>
      <c r="M201" s="46">
        <f>IF(K201="SL","Terecht",IF(K201="TP","Onterecht",""))</f>
        <v/>
      </c>
      <c r="N201" s="41" t="n"/>
    </row>
    <row r="202">
      <c r="B202" s="47" t="n"/>
      <c r="G202" s="48" t="n"/>
      <c r="H202" s="49" t="n"/>
      <c r="I202" s="49" t="n"/>
      <c r="J202" s="49" t="n"/>
      <c r="L202" s="50" t="n"/>
      <c r="M202" s="40">
        <f>IF(K202="SL","Terecht",IF(K202="TP","Onterecht",""))</f>
        <v/>
      </c>
    </row>
    <row r="203">
      <c r="A203" s="41" t="n"/>
      <c r="B203" s="42" t="n"/>
      <c r="C203" s="41" t="n"/>
      <c r="D203" s="41" t="n"/>
      <c r="E203" s="41" t="n"/>
      <c r="F203" s="41" t="n"/>
      <c r="G203" s="43" t="n"/>
      <c r="H203" s="44" t="n"/>
      <c r="I203" s="44" t="n"/>
      <c r="J203" s="44" t="n"/>
      <c r="K203" s="41" t="n"/>
      <c r="L203" s="45" t="n"/>
      <c r="M203" s="46">
        <f>IF(K203="SL","Terecht",IF(K203="TP","Onterecht",""))</f>
        <v/>
      </c>
      <c r="N203" s="41" t="n"/>
    </row>
    <row r="204">
      <c r="B204" s="47" t="n"/>
      <c r="G204" s="48" t="n"/>
      <c r="H204" s="49" t="n"/>
      <c r="I204" s="49" t="n"/>
      <c r="J204" s="49" t="n"/>
      <c r="L204" s="50" t="n"/>
      <c r="M204" s="40">
        <f>IF(K204="SL","Terecht",IF(K204="TP","Onterecht",""))</f>
        <v/>
      </c>
    </row>
    <row r="205">
      <c r="A205" s="41" t="n"/>
      <c r="B205" s="42" t="n"/>
      <c r="C205" s="41" t="n"/>
      <c r="D205" s="41" t="n"/>
      <c r="E205" s="41" t="n"/>
      <c r="F205" s="41" t="n"/>
      <c r="G205" s="43" t="n"/>
      <c r="H205" s="44" t="n"/>
      <c r="I205" s="44" t="n"/>
      <c r="J205" s="44" t="n"/>
      <c r="K205" s="41" t="n"/>
      <c r="L205" s="45" t="n"/>
      <c r="M205" s="46">
        <f>IF(K205="SL","Terecht",IF(K205="TP","Onterecht",""))</f>
        <v/>
      </c>
      <c r="N205" s="41" t="n"/>
    </row>
    <row r="206">
      <c r="B206" s="47" t="n"/>
      <c r="G206" s="48" t="n"/>
      <c r="H206" s="49" t="n"/>
      <c r="I206" s="49" t="n"/>
      <c r="J206" s="49" t="n"/>
      <c r="L206" s="50" t="n"/>
      <c r="M206" s="40">
        <f>IF(K206="SL","Terecht",IF(K206="TP","Onterecht",""))</f>
        <v/>
      </c>
    </row>
    <row r="207">
      <c r="A207" s="41" t="n"/>
      <c r="B207" s="42" t="n"/>
      <c r="C207" s="41" t="n"/>
      <c r="D207" s="41" t="n"/>
      <c r="E207" s="41" t="n"/>
      <c r="F207" s="41" t="n"/>
      <c r="G207" s="43" t="n"/>
      <c r="H207" s="44" t="n"/>
      <c r="I207" s="44" t="n"/>
      <c r="J207" s="44" t="n"/>
      <c r="K207" s="41" t="n"/>
      <c r="L207" s="45" t="n"/>
      <c r="M207" s="46">
        <f>IF(K207="SL","Terecht",IF(K207="TP","Onterecht",""))</f>
        <v/>
      </c>
      <c r="N207" s="41" t="n"/>
    </row>
    <row r="208">
      <c r="B208" s="47" t="n"/>
      <c r="G208" s="48" t="n"/>
      <c r="H208" s="49" t="n"/>
      <c r="I208" s="49" t="n"/>
      <c r="J208" s="49" t="n"/>
      <c r="L208" s="50" t="n"/>
      <c r="M208" s="40">
        <f>IF(K208="SL","Terecht",IF(K208="TP","Onterecht",""))</f>
        <v/>
      </c>
    </row>
    <row r="209">
      <c r="A209" s="41" t="n"/>
      <c r="B209" s="42" t="n"/>
      <c r="C209" s="41" t="n"/>
      <c r="D209" s="41" t="n"/>
      <c r="E209" s="41" t="n"/>
      <c r="F209" s="41" t="n"/>
      <c r="G209" s="43" t="n"/>
      <c r="H209" s="44" t="n"/>
      <c r="I209" s="44" t="n"/>
      <c r="J209" s="44" t="n"/>
      <c r="K209" s="41" t="n"/>
      <c r="L209" s="45" t="n"/>
      <c r="M209" s="46">
        <f>IF(K209="SL","Terecht",IF(K209="TP","Onterecht",""))</f>
        <v/>
      </c>
      <c r="N209" s="41" t="n"/>
    </row>
    <row r="210">
      <c r="B210" s="47" t="n"/>
      <c r="G210" s="48" t="n"/>
      <c r="H210" s="49" t="n"/>
      <c r="I210" s="49" t="n"/>
      <c r="J210" s="49" t="n"/>
      <c r="L210" s="50" t="n"/>
      <c r="M210" s="40">
        <f>IF(K210="SL","Terecht",IF(K210="TP","Onterecht",""))</f>
        <v/>
      </c>
    </row>
    <row r="211">
      <c r="A211" s="41" t="n"/>
      <c r="B211" s="42" t="n"/>
      <c r="C211" s="41" t="n"/>
      <c r="D211" s="41" t="n"/>
      <c r="E211" s="41" t="n"/>
      <c r="F211" s="41" t="n"/>
      <c r="G211" s="43" t="n"/>
      <c r="H211" s="44" t="n"/>
      <c r="I211" s="44" t="n"/>
      <c r="J211" s="44" t="n"/>
      <c r="K211" s="41" t="n"/>
      <c r="L211" s="45" t="n"/>
      <c r="M211" s="46">
        <f>IF(K211="SL","Terecht",IF(K211="TP","Onterecht",""))</f>
        <v/>
      </c>
      <c r="N211" s="41" t="n"/>
    </row>
    <row r="212">
      <c r="B212" s="47" t="n"/>
      <c r="G212" s="48" t="n"/>
      <c r="H212" s="49" t="n"/>
      <c r="I212" s="49" t="n"/>
      <c r="J212" s="49" t="n"/>
      <c r="L212" s="50" t="n"/>
      <c r="M212" s="40">
        <f>IF(K212="SL","Terecht",IF(K212="TP","Onterecht",""))</f>
        <v/>
      </c>
    </row>
    <row r="213">
      <c r="A213" s="41" t="n"/>
      <c r="B213" s="42" t="n"/>
      <c r="C213" s="41" t="n"/>
      <c r="D213" s="41" t="n"/>
      <c r="E213" s="41" t="n"/>
      <c r="F213" s="41" t="n"/>
      <c r="G213" s="43" t="n"/>
      <c r="H213" s="44" t="n"/>
      <c r="I213" s="44" t="n"/>
      <c r="J213" s="44" t="n"/>
      <c r="K213" s="41" t="n"/>
      <c r="L213" s="45" t="n"/>
      <c r="M213" s="46">
        <f>IF(K213="SL","Terecht",IF(K213="TP","Onterecht",""))</f>
        <v/>
      </c>
      <c r="N213" s="41" t="n"/>
    </row>
    <row r="214">
      <c r="B214" s="47" t="n"/>
      <c r="G214" s="48" t="n"/>
      <c r="H214" s="49" t="n"/>
      <c r="I214" s="49" t="n"/>
      <c r="J214" s="49" t="n"/>
      <c r="L214" s="50" t="n"/>
      <c r="M214" s="40">
        <f>IF(K214="SL","Terecht",IF(K214="TP","Onterecht",""))</f>
        <v/>
      </c>
    </row>
    <row r="215">
      <c r="A215" s="41" t="n"/>
      <c r="B215" s="42" t="n"/>
      <c r="C215" s="41" t="n"/>
      <c r="D215" s="41" t="n"/>
      <c r="E215" s="41" t="n"/>
      <c r="F215" s="41" t="n"/>
      <c r="G215" s="43" t="n"/>
      <c r="H215" s="44" t="n"/>
      <c r="I215" s="44" t="n"/>
      <c r="J215" s="44" t="n"/>
      <c r="K215" s="41" t="n"/>
      <c r="L215" s="45" t="n"/>
      <c r="M215" s="46">
        <f>IF(K215="SL","Terecht",IF(K215="TP","Onterecht",""))</f>
        <v/>
      </c>
      <c r="N215" s="41" t="n"/>
    </row>
    <row r="216">
      <c r="B216" s="47" t="n"/>
      <c r="G216" s="48" t="n"/>
      <c r="H216" s="49" t="n"/>
      <c r="I216" s="49" t="n"/>
      <c r="J216" s="49" t="n"/>
      <c r="L216" s="50" t="n"/>
      <c r="M216" s="40">
        <f>IF(K216="SL","Terecht",IF(K216="TP","Onterecht",""))</f>
        <v/>
      </c>
    </row>
    <row r="217">
      <c r="A217" s="41" t="n"/>
      <c r="B217" s="42" t="n"/>
      <c r="C217" s="41" t="n"/>
      <c r="D217" s="41" t="n"/>
      <c r="E217" s="41" t="n"/>
      <c r="F217" s="41" t="n"/>
      <c r="G217" s="43" t="n"/>
      <c r="H217" s="44" t="n"/>
      <c r="I217" s="44" t="n"/>
      <c r="J217" s="44" t="n"/>
      <c r="K217" s="41" t="n"/>
      <c r="L217" s="45" t="n"/>
      <c r="M217" s="46">
        <f>IF(K217="SL","Terecht",IF(K217="TP","Onterecht",""))</f>
        <v/>
      </c>
      <c r="N217" s="41" t="n"/>
    </row>
    <row r="218">
      <c r="B218" s="47" t="n"/>
      <c r="G218" s="48" t="n"/>
      <c r="H218" s="49" t="n"/>
      <c r="I218" s="49" t="n"/>
      <c r="J218" s="49" t="n"/>
      <c r="L218" s="50" t="n"/>
      <c r="M218" s="40">
        <f>IF(K218="SL","Terecht",IF(K218="TP","Onterecht",""))</f>
        <v/>
      </c>
    </row>
    <row r="219">
      <c r="A219" s="41" t="n"/>
      <c r="B219" s="42" t="n"/>
      <c r="C219" s="41" t="n"/>
      <c r="D219" s="41" t="n"/>
      <c r="E219" s="41" t="n"/>
      <c r="F219" s="41" t="n"/>
      <c r="G219" s="43" t="n"/>
      <c r="H219" s="44" t="n"/>
      <c r="I219" s="44" t="n"/>
      <c r="J219" s="44" t="n"/>
      <c r="K219" s="41" t="n"/>
      <c r="L219" s="45" t="n"/>
      <c r="M219" s="46">
        <f>IF(K219="SL","Terecht",IF(K219="TP","Onterecht",""))</f>
        <v/>
      </c>
      <c r="N219" s="41" t="n"/>
    </row>
    <row r="220">
      <c r="B220" s="47" t="n"/>
      <c r="G220" s="48" t="n"/>
      <c r="H220" s="49" t="n"/>
      <c r="I220" s="49" t="n"/>
      <c r="J220" s="49" t="n"/>
      <c r="L220" s="50" t="n"/>
      <c r="M220" s="40">
        <f>IF(K220="SL","Terecht",IF(K220="TP","Onterecht",""))</f>
        <v/>
      </c>
    </row>
    <row r="221">
      <c r="A221" s="41" t="n"/>
      <c r="B221" s="42" t="n"/>
      <c r="C221" s="41" t="n"/>
      <c r="D221" s="41" t="n"/>
      <c r="E221" s="41" t="n"/>
      <c r="F221" s="41" t="n"/>
      <c r="G221" s="43" t="n"/>
      <c r="H221" s="44" t="n"/>
      <c r="I221" s="44" t="n"/>
      <c r="J221" s="44" t="n"/>
      <c r="K221" s="41" t="n"/>
      <c r="L221" s="45" t="n"/>
      <c r="M221" s="46">
        <f>IF(K221="SL","Terecht",IF(K221="TP","Onterecht",""))</f>
        <v/>
      </c>
      <c r="N221" s="41" t="n"/>
    </row>
    <row r="222">
      <c r="B222" s="47" t="n"/>
      <c r="G222" s="48" t="n"/>
      <c r="H222" s="49" t="n"/>
      <c r="I222" s="49" t="n"/>
      <c r="J222" s="49" t="n"/>
      <c r="L222" s="50" t="n"/>
      <c r="M222" s="40">
        <f>IF(K222="SL","Terecht",IF(K222="TP","Onterecht",""))</f>
        <v/>
      </c>
    </row>
    <row r="223">
      <c r="A223" s="41" t="n"/>
      <c r="B223" s="42" t="n"/>
      <c r="C223" s="41" t="n"/>
      <c r="D223" s="41" t="n"/>
      <c r="E223" s="41" t="n"/>
      <c r="F223" s="41" t="n"/>
      <c r="G223" s="43" t="n"/>
      <c r="H223" s="44" t="n"/>
      <c r="I223" s="44" t="n"/>
      <c r="J223" s="44" t="n"/>
      <c r="K223" s="41" t="n"/>
      <c r="L223" s="45" t="n"/>
      <c r="M223" s="46">
        <f>IF(K223="SL","Terecht",IF(K223="TP","Onterecht",""))</f>
        <v/>
      </c>
      <c r="N223" s="41" t="n"/>
    </row>
    <row r="224">
      <c r="B224" s="47" t="n"/>
      <c r="G224" s="48" t="n"/>
      <c r="H224" s="49" t="n"/>
      <c r="I224" s="49" t="n"/>
      <c r="J224" s="49" t="n"/>
      <c r="L224" s="50" t="n"/>
      <c r="M224" s="40">
        <f>IF(K224="SL","Terecht",IF(K224="TP","Onterecht",""))</f>
        <v/>
      </c>
    </row>
    <row r="225">
      <c r="A225" s="41" t="n"/>
      <c r="B225" s="42" t="n"/>
      <c r="C225" s="41" t="n"/>
      <c r="D225" s="41" t="n"/>
      <c r="E225" s="41" t="n"/>
      <c r="F225" s="41" t="n"/>
      <c r="G225" s="43" t="n"/>
      <c r="H225" s="44" t="n"/>
      <c r="I225" s="44" t="n"/>
      <c r="J225" s="44" t="n"/>
      <c r="K225" s="41" t="n"/>
      <c r="L225" s="45" t="n"/>
      <c r="M225" s="46">
        <f>IF(K225="SL","Terecht",IF(K225="TP","Onterecht",""))</f>
        <v/>
      </c>
      <c r="N225" s="41" t="n"/>
    </row>
    <row r="226">
      <c r="B226" s="47" t="n"/>
      <c r="G226" s="48" t="n"/>
      <c r="H226" s="49" t="n"/>
      <c r="I226" s="49" t="n"/>
      <c r="J226" s="49" t="n"/>
      <c r="L226" s="50" t="n"/>
      <c r="M226" s="40">
        <f>IF(K226="SL","Terecht",IF(K226="TP","Onterecht",""))</f>
        <v/>
      </c>
    </row>
    <row r="227">
      <c r="A227" s="41" t="n"/>
      <c r="B227" s="42" t="n"/>
      <c r="C227" s="41" t="n"/>
      <c r="D227" s="41" t="n"/>
      <c r="E227" s="41" t="n"/>
      <c r="F227" s="41" t="n"/>
      <c r="G227" s="43" t="n"/>
      <c r="H227" s="44" t="n"/>
      <c r="I227" s="44" t="n"/>
      <c r="J227" s="44" t="n"/>
      <c r="K227" s="41" t="n"/>
      <c r="L227" s="45" t="n"/>
      <c r="M227" s="46">
        <f>IF(K227="SL","Terecht",IF(K227="TP","Onterecht",""))</f>
        <v/>
      </c>
      <c r="N227" s="41" t="n"/>
    </row>
    <row r="228">
      <c r="B228" s="47" t="n"/>
      <c r="G228" s="48" t="n"/>
      <c r="H228" s="49" t="n"/>
      <c r="I228" s="49" t="n"/>
      <c r="J228" s="49" t="n"/>
      <c r="L228" s="50" t="n"/>
      <c r="M228" s="40">
        <f>IF(K228="SL","Terecht",IF(K228="TP","Onterecht",""))</f>
        <v/>
      </c>
    </row>
    <row r="229">
      <c r="A229" s="41" t="n"/>
      <c r="B229" s="42" t="n"/>
      <c r="C229" s="41" t="n"/>
      <c r="D229" s="41" t="n"/>
      <c r="E229" s="41" t="n"/>
      <c r="F229" s="41" t="n"/>
      <c r="G229" s="43" t="n"/>
      <c r="H229" s="44" t="n"/>
      <c r="I229" s="44" t="n"/>
      <c r="J229" s="44" t="n"/>
      <c r="K229" s="41" t="n"/>
      <c r="L229" s="45" t="n"/>
      <c r="M229" s="46">
        <f>IF(K229="SL","Terecht",IF(K229="TP","Onterecht",""))</f>
        <v/>
      </c>
      <c r="N229" s="41" t="n"/>
    </row>
    <row r="230">
      <c r="B230" s="47" t="n"/>
      <c r="G230" s="48" t="n"/>
      <c r="H230" s="49" t="n"/>
      <c r="I230" s="49" t="n"/>
      <c r="J230" s="49" t="n"/>
      <c r="L230" s="50" t="n"/>
      <c r="M230" s="40">
        <f>IF(K230="SL","Terecht",IF(K230="TP","Onterecht",""))</f>
        <v/>
      </c>
    </row>
    <row r="231">
      <c r="A231" s="41" t="n"/>
      <c r="B231" s="42" t="n"/>
      <c r="C231" s="41" t="n"/>
      <c r="D231" s="41" t="n"/>
      <c r="E231" s="41" t="n"/>
      <c r="F231" s="41" t="n"/>
      <c r="G231" s="43" t="n"/>
      <c r="H231" s="44" t="n"/>
      <c r="I231" s="44" t="n"/>
      <c r="J231" s="44" t="n"/>
      <c r="K231" s="41" t="n"/>
      <c r="L231" s="45" t="n"/>
      <c r="M231" s="46">
        <f>IF(K231="SL","Terecht",IF(K231="TP","Onterecht",""))</f>
        <v/>
      </c>
      <c r="N231" s="41" t="n"/>
    </row>
    <row r="232">
      <c r="B232" s="47" t="n"/>
      <c r="G232" s="48" t="n"/>
      <c r="H232" s="49" t="n"/>
      <c r="I232" s="49" t="n"/>
      <c r="J232" s="49" t="n"/>
      <c r="L232" s="50" t="n"/>
      <c r="M232" s="40">
        <f>IF(K232="SL","Terecht",IF(K232="TP","Onterecht",""))</f>
        <v/>
      </c>
    </row>
    <row r="233">
      <c r="A233" s="41" t="n"/>
      <c r="B233" s="42" t="n"/>
      <c r="C233" s="41" t="n"/>
      <c r="D233" s="41" t="n"/>
      <c r="E233" s="41" t="n"/>
      <c r="F233" s="41" t="n"/>
      <c r="G233" s="43" t="n"/>
      <c r="H233" s="44" t="n"/>
      <c r="I233" s="44" t="n"/>
      <c r="J233" s="44" t="n"/>
      <c r="K233" s="41" t="n"/>
      <c r="L233" s="45" t="n"/>
      <c r="M233" s="46">
        <f>IF(K233="SL","Terecht",IF(K233="TP","Onterecht",""))</f>
        <v/>
      </c>
      <c r="N233" s="41" t="n"/>
    </row>
    <row r="234">
      <c r="B234" s="47" t="n"/>
      <c r="G234" s="48" t="n"/>
      <c r="H234" s="49" t="n"/>
      <c r="I234" s="49" t="n"/>
      <c r="J234" s="49" t="n"/>
      <c r="L234" s="50" t="n"/>
      <c r="M234" s="40">
        <f>IF(K234="SL","Terecht",IF(K234="TP","Onterecht",""))</f>
        <v/>
      </c>
    </row>
    <row r="235">
      <c r="A235" s="41" t="n"/>
      <c r="B235" s="42" t="n"/>
      <c r="C235" s="41" t="n"/>
      <c r="D235" s="41" t="n"/>
      <c r="E235" s="41" t="n"/>
      <c r="F235" s="41" t="n"/>
      <c r="G235" s="43" t="n"/>
      <c r="H235" s="44" t="n"/>
      <c r="I235" s="44" t="n"/>
      <c r="J235" s="44" t="n"/>
      <c r="K235" s="41" t="n"/>
      <c r="L235" s="45" t="n"/>
      <c r="M235" s="46">
        <f>IF(K235="SL","Terecht",IF(K235="TP","Onterecht",""))</f>
        <v/>
      </c>
      <c r="N235" s="41" t="n"/>
    </row>
    <row r="236">
      <c r="B236" s="47" t="n"/>
      <c r="G236" s="48" t="n"/>
      <c r="H236" s="49" t="n"/>
      <c r="I236" s="49" t="n"/>
      <c r="J236" s="49" t="n"/>
      <c r="L236" s="50" t="n"/>
      <c r="M236" s="40">
        <f>IF(K236="SL","Terecht",IF(K236="TP","Onterecht",""))</f>
        <v/>
      </c>
    </row>
    <row r="237">
      <c r="A237" s="41" t="n"/>
      <c r="B237" s="42" t="n"/>
      <c r="C237" s="41" t="n"/>
      <c r="D237" s="41" t="n"/>
      <c r="E237" s="41" t="n"/>
      <c r="F237" s="41" t="n"/>
      <c r="G237" s="43" t="n"/>
      <c r="H237" s="44" t="n"/>
      <c r="I237" s="44" t="n"/>
      <c r="J237" s="44" t="n"/>
      <c r="K237" s="41" t="n"/>
      <c r="L237" s="45" t="n"/>
      <c r="M237" s="46">
        <f>IF(K237="SL","Terecht",IF(K237="TP","Onterecht",""))</f>
        <v/>
      </c>
      <c r="N237" s="41" t="n"/>
    </row>
    <row r="238">
      <c r="B238" s="47" t="n"/>
      <c r="G238" s="48" t="n"/>
      <c r="H238" s="49" t="n"/>
      <c r="I238" s="49" t="n"/>
      <c r="J238" s="49" t="n"/>
      <c r="L238" s="50" t="n"/>
      <c r="M238" s="40">
        <f>IF(K238="SL","Terecht",IF(K238="TP","Onterecht",""))</f>
        <v/>
      </c>
    </row>
    <row r="239">
      <c r="A239" s="41" t="n"/>
      <c r="B239" s="42" t="n"/>
      <c r="C239" s="41" t="n"/>
      <c r="D239" s="41" t="n"/>
      <c r="E239" s="41" t="n"/>
      <c r="F239" s="41" t="n"/>
      <c r="G239" s="43" t="n"/>
      <c r="H239" s="44" t="n"/>
      <c r="I239" s="44" t="n"/>
      <c r="J239" s="44" t="n"/>
      <c r="K239" s="41" t="n"/>
      <c r="L239" s="45" t="n"/>
      <c r="M239" s="46">
        <f>IF(K239="SL","Terecht",IF(K239="TP","Onterecht",""))</f>
        <v/>
      </c>
      <c r="N239" s="41" t="n"/>
    </row>
    <row r="240">
      <c r="B240" s="47" t="n"/>
      <c r="G240" s="48" t="n"/>
      <c r="H240" s="49" t="n"/>
      <c r="I240" s="49" t="n"/>
      <c r="J240" s="49" t="n"/>
      <c r="L240" s="50" t="n"/>
      <c r="M240" s="40">
        <f>IF(K240="SL","Terecht",IF(K240="TP","Onterecht",""))</f>
        <v/>
      </c>
    </row>
    <row r="241">
      <c r="A241" s="41" t="n"/>
      <c r="B241" s="42" t="n"/>
      <c r="C241" s="41" t="n"/>
      <c r="D241" s="41" t="n"/>
      <c r="E241" s="41" t="n"/>
      <c r="F241" s="41" t="n"/>
      <c r="G241" s="43" t="n"/>
      <c r="H241" s="44" t="n"/>
      <c r="I241" s="44" t="n"/>
      <c r="J241" s="44" t="n"/>
      <c r="K241" s="41" t="n"/>
      <c r="L241" s="45" t="n"/>
      <c r="M241" s="46">
        <f>IF(K241="SL","Terecht",IF(K241="TP","Onterecht",""))</f>
        <v/>
      </c>
      <c r="N241" s="41" t="n"/>
    </row>
    <row r="242">
      <c r="B242" s="47" t="n"/>
      <c r="G242" s="48" t="n"/>
      <c r="H242" s="49" t="n"/>
      <c r="I242" s="49" t="n"/>
      <c r="J242" s="49" t="n"/>
      <c r="L242" s="50" t="n"/>
      <c r="M242" s="40">
        <f>IF(K242="SL","Terecht",IF(K242="TP","Onterecht",""))</f>
        <v/>
      </c>
    </row>
    <row r="243">
      <c r="A243" s="41" t="n"/>
      <c r="B243" s="42" t="n"/>
      <c r="C243" s="41" t="n"/>
      <c r="D243" s="41" t="n"/>
      <c r="E243" s="41" t="n"/>
      <c r="F243" s="41" t="n"/>
      <c r="G243" s="43" t="n"/>
      <c r="H243" s="44" t="n"/>
      <c r="I243" s="44" t="n"/>
      <c r="J243" s="44" t="n"/>
      <c r="K243" s="41" t="n"/>
      <c r="L243" s="45" t="n"/>
      <c r="M243" s="46">
        <f>IF(K243="SL","Terecht",IF(K243="TP","Onterecht",""))</f>
        <v/>
      </c>
      <c r="N243" s="41" t="n"/>
    </row>
    <row r="244">
      <c r="B244" s="47" t="n"/>
      <c r="G244" s="48" t="n"/>
      <c r="H244" s="49" t="n"/>
      <c r="I244" s="49" t="n"/>
      <c r="J244" s="49" t="n"/>
      <c r="L244" s="50" t="n"/>
      <c r="M244" s="40">
        <f>IF(K244="SL","Terecht",IF(K244="TP","Onterecht",""))</f>
        <v/>
      </c>
    </row>
    <row r="245">
      <c r="A245" s="41" t="n"/>
      <c r="B245" s="42" t="n"/>
      <c r="C245" s="41" t="n"/>
      <c r="D245" s="41" t="n"/>
      <c r="E245" s="41" t="n"/>
      <c r="F245" s="41" t="n"/>
      <c r="G245" s="43" t="n"/>
      <c r="H245" s="44" t="n"/>
      <c r="I245" s="44" t="n"/>
      <c r="J245" s="44" t="n"/>
      <c r="K245" s="41" t="n"/>
      <c r="L245" s="45" t="n"/>
      <c r="M245" s="46">
        <f>IF(K245="SL","Terecht",IF(K245="TP","Onterecht",""))</f>
        <v/>
      </c>
      <c r="N245" s="41" t="n"/>
    </row>
    <row r="246">
      <c r="B246" s="47" t="n"/>
      <c r="G246" s="48" t="n"/>
      <c r="H246" s="49" t="n"/>
      <c r="I246" s="49" t="n"/>
      <c r="J246" s="49" t="n"/>
      <c r="L246" s="50" t="n"/>
      <c r="M246" s="40">
        <f>IF(K246="SL","Terecht",IF(K246="TP","Onterecht",""))</f>
        <v/>
      </c>
    </row>
    <row r="247">
      <c r="A247" s="41" t="n"/>
      <c r="B247" s="42" t="n"/>
      <c r="C247" s="41" t="n"/>
      <c r="D247" s="41" t="n"/>
      <c r="E247" s="41" t="n"/>
      <c r="F247" s="41" t="n"/>
      <c r="G247" s="43" t="n"/>
      <c r="H247" s="44" t="n"/>
      <c r="I247" s="44" t="n"/>
      <c r="J247" s="44" t="n"/>
      <c r="K247" s="41" t="n"/>
      <c r="L247" s="45" t="n"/>
      <c r="M247" s="46">
        <f>IF(K247="SL","Terecht",IF(K247="TP","Onterecht",""))</f>
        <v/>
      </c>
      <c r="N247" s="41" t="n"/>
    </row>
    <row r="248">
      <c r="B248" s="47" t="n"/>
      <c r="G248" s="48" t="n"/>
      <c r="H248" s="49" t="n"/>
      <c r="I248" s="49" t="n"/>
      <c r="J248" s="49" t="n"/>
      <c r="L248" s="50" t="n"/>
      <c r="M248" s="40">
        <f>IF(K248="SL","Terecht",IF(K248="TP","Onterecht",""))</f>
        <v/>
      </c>
    </row>
    <row r="249">
      <c r="A249" s="41" t="n"/>
      <c r="B249" s="42" t="n"/>
      <c r="C249" s="41" t="n"/>
      <c r="D249" s="41" t="n"/>
      <c r="E249" s="41" t="n"/>
      <c r="F249" s="41" t="n"/>
      <c r="G249" s="43" t="n"/>
      <c r="H249" s="44" t="n"/>
      <c r="I249" s="44" t="n"/>
      <c r="J249" s="44" t="n"/>
      <c r="K249" s="41" t="n"/>
      <c r="L249" s="45" t="n"/>
      <c r="M249" s="46">
        <f>IF(K249="SL","Terecht",IF(K249="TP","Onterecht",""))</f>
        <v/>
      </c>
      <c r="N249" s="41" t="n"/>
    </row>
    <row r="250">
      <c r="B250" s="47" t="n"/>
      <c r="G250" s="48" t="n"/>
      <c r="H250" s="49" t="n"/>
      <c r="I250" s="49" t="n"/>
      <c r="J250" s="49" t="n"/>
      <c r="L250" s="50" t="n"/>
      <c r="M250" s="40">
        <f>IF(K250="SL","Terecht",IF(K250="TP","Onterecht",""))</f>
        <v/>
      </c>
    </row>
    <row r="251">
      <c r="A251" s="41" t="n"/>
      <c r="B251" s="42" t="n"/>
      <c r="C251" s="41" t="n"/>
      <c r="D251" s="41" t="n"/>
      <c r="E251" s="41" t="n"/>
      <c r="F251" s="41" t="n"/>
      <c r="G251" s="43" t="n"/>
      <c r="H251" s="44" t="n"/>
      <c r="I251" s="44" t="n"/>
      <c r="J251" s="44" t="n"/>
      <c r="K251" s="41" t="n"/>
      <c r="L251" s="45" t="n"/>
      <c r="M251" s="46">
        <f>IF(K251="SL","Terecht",IF(K251="TP","Onterecht",""))</f>
        <v/>
      </c>
      <c r="N251" s="41" t="n"/>
    </row>
    <row r="252">
      <c r="B252" s="47" t="n"/>
      <c r="G252" s="48" t="n"/>
      <c r="H252" s="49" t="n"/>
      <c r="I252" s="49" t="n"/>
      <c r="J252" s="49" t="n"/>
      <c r="L252" s="50" t="n"/>
      <c r="M252" s="40">
        <f>IF(K252="SL","Terecht",IF(K252="TP","Onterecht",""))</f>
        <v/>
      </c>
    </row>
    <row r="253">
      <c r="A253" s="41" t="n"/>
      <c r="B253" s="42" t="n"/>
      <c r="C253" s="41" t="n"/>
      <c r="D253" s="41" t="n"/>
      <c r="E253" s="41" t="n"/>
      <c r="F253" s="41" t="n"/>
      <c r="G253" s="43" t="n"/>
      <c r="H253" s="44" t="n"/>
      <c r="I253" s="44" t="n"/>
      <c r="J253" s="44" t="n"/>
      <c r="K253" s="41" t="n"/>
      <c r="L253" s="45" t="n"/>
      <c r="M253" s="46">
        <f>IF(K253="SL","Terecht",IF(K253="TP","Onterecht",""))</f>
        <v/>
      </c>
      <c r="N253" s="41" t="n"/>
    </row>
    <row r="254">
      <c r="B254" s="47" t="n"/>
      <c r="G254" s="48" t="n"/>
      <c r="H254" s="49" t="n"/>
      <c r="I254" s="49" t="n"/>
      <c r="J254" s="49" t="n"/>
      <c r="L254" s="50" t="n"/>
      <c r="M254" s="40">
        <f>IF(K254="SL","Terecht",IF(K254="TP","Onterecht",""))</f>
        <v/>
      </c>
    </row>
    <row r="255">
      <c r="A255" s="41" t="n"/>
      <c r="B255" s="42" t="n"/>
      <c r="C255" s="41" t="n"/>
      <c r="D255" s="41" t="n"/>
      <c r="E255" s="41" t="n"/>
      <c r="F255" s="41" t="n"/>
      <c r="G255" s="43" t="n"/>
      <c r="H255" s="44" t="n"/>
      <c r="I255" s="44" t="n"/>
      <c r="J255" s="44" t="n"/>
      <c r="K255" s="41" t="n"/>
      <c r="L255" s="45" t="n"/>
      <c r="M255" s="46">
        <f>IF(K255="SL","Terecht",IF(K255="TP","Onterecht",""))</f>
        <v/>
      </c>
      <c r="N255" s="41" t="n"/>
    </row>
    <row r="256">
      <c r="B256" s="47" t="n"/>
      <c r="G256" s="48" t="n"/>
      <c r="H256" s="49" t="n"/>
      <c r="I256" s="49" t="n"/>
      <c r="J256" s="49" t="n"/>
      <c r="L256" s="50" t="n"/>
      <c r="M256" s="40">
        <f>IF(K256="SL","Terecht",IF(K256="TP","Onterecht",""))</f>
        <v/>
      </c>
    </row>
    <row r="257">
      <c r="A257" s="41" t="n"/>
      <c r="B257" s="42" t="n"/>
      <c r="C257" s="41" t="n"/>
      <c r="D257" s="41" t="n"/>
      <c r="E257" s="41" t="n"/>
      <c r="F257" s="41" t="n"/>
      <c r="G257" s="43" t="n"/>
      <c r="H257" s="44" t="n"/>
      <c r="I257" s="44" t="n"/>
      <c r="J257" s="44" t="n"/>
      <c r="K257" s="41" t="n"/>
      <c r="L257" s="45" t="n"/>
      <c r="M257" s="46">
        <f>IF(K257="SL","Terecht",IF(K257="TP","Onterecht",""))</f>
        <v/>
      </c>
      <c r="N257" s="41" t="n"/>
    </row>
    <row r="258">
      <c r="B258" s="47" t="n"/>
      <c r="G258" s="48" t="n"/>
      <c r="H258" s="49" t="n"/>
      <c r="I258" s="49" t="n"/>
      <c r="J258" s="49" t="n"/>
      <c r="L258" s="50" t="n"/>
      <c r="M258" s="40">
        <f>IF(K258="SL","Terecht",IF(K258="TP","Onterecht",""))</f>
        <v/>
      </c>
    </row>
    <row r="259">
      <c r="A259" s="41" t="n"/>
      <c r="B259" s="42" t="n"/>
      <c r="C259" s="41" t="n"/>
      <c r="D259" s="41" t="n"/>
      <c r="E259" s="41" t="n"/>
      <c r="F259" s="41" t="n"/>
      <c r="G259" s="43" t="n"/>
      <c r="H259" s="44" t="n"/>
      <c r="I259" s="44" t="n"/>
      <c r="J259" s="44" t="n"/>
      <c r="K259" s="41" t="n"/>
      <c r="L259" s="45" t="n"/>
      <c r="M259" s="46">
        <f>IF(K259="SL","Terecht",IF(K259="TP","Onterecht",""))</f>
        <v/>
      </c>
      <c r="N259" s="41" t="n"/>
    </row>
    <row r="260">
      <c r="B260" s="47" t="n"/>
      <c r="G260" s="48" t="n"/>
      <c r="H260" s="49" t="n"/>
      <c r="I260" s="49" t="n"/>
      <c r="J260" s="49" t="n"/>
      <c r="L260" s="50" t="n"/>
      <c r="M260" s="40">
        <f>IF(K260="SL","Terecht",IF(K260="TP","Onterecht",""))</f>
        <v/>
      </c>
    </row>
    <row r="261">
      <c r="A261" s="41" t="n"/>
      <c r="B261" s="42" t="n"/>
      <c r="C261" s="41" t="n"/>
      <c r="D261" s="41" t="n"/>
      <c r="E261" s="41" t="n"/>
      <c r="F261" s="41" t="n"/>
      <c r="G261" s="43" t="n"/>
      <c r="H261" s="44" t="n"/>
      <c r="I261" s="44" t="n"/>
      <c r="J261" s="44" t="n"/>
      <c r="K261" s="41" t="n"/>
      <c r="L261" s="45" t="n"/>
      <c r="M261" s="46">
        <f>IF(K261="SL","Terecht",IF(K261="TP","Onterecht",""))</f>
        <v/>
      </c>
      <c r="N261" s="41" t="n"/>
    </row>
    <row r="262">
      <c r="B262" s="47" t="n"/>
      <c r="G262" s="48" t="n"/>
      <c r="H262" s="49" t="n"/>
      <c r="I262" s="49" t="n"/>
      <c r="J262" s="49" t="n"/>
      <c r="L262" s="50" t="n"/>
      <c r="M262" s="40">
        <f>IF(K262="SL","Terecht",IF(K262="TP","Onterecht",""))</f>
        <v/>
      </c>
    </row>
    <row r="263">
      <c r="A263" s="41" t="n"/>
      <c r="B263" s="42" t="n"/>
      <c r="C263" s="41" t="n"/>
      <c r="D263" s="41" t="n"/>
      <c r="E263" s="41" t="n"/>
      <c r="F263" s="41" t="n"/>
      <c r="G263" s="43" t="n"/>
      <c r="H263" s="44" t="n"/>
      <c r="I263" s="44" t="n"/>
      <c r="J263" s="44" t="n"/>
      <c r="K263" s="41" t="n"/>
      <c r="L263" s="45" t="n"/>
      <c r="M263" s="46">
        <f>IF(K263="SL","Terecht",IF(K263="TP","Onterecht",""))</f>
        <v/>
      </c>
      <c r="N263" s="41" t="n"/>
    </row>
    <row r="264">
      <c r="B264" s="47" t="n"/>
      <c r="G264" s="48" t="n"/>
      <c r="H264" s="49" t="n"/>
      <c r="I264" s="49" t="n"/>
      <c r="J264" s="49" t="n"/>
      <c r="L264" s="50" t="n"/>
      <c r="M264" s="40">
        <f>IF(K264="SL","Terecht",IF(K264="TP","Onterecht",""))</f>
        <v/>
      </c>
    </row>
    <row r="265">
      <c r="A265" s="41" t="n"/>
      <c r="B265" s="42" t="n"/>
      <c r="C265" s="41" t="n"/>
      <c r="D265" s="41" t="n"/>
      <c r="E265" s="41" t="n"/>
      <c r="F265" s="41" t="n"/>
      <c r="G265" s="43" t="n"/>
      <c r="H265" s="44" t="n"/>
      <c r="I265" s="44" t="n"/>
      <c r="J265" s="44" t="n"/>
      <c r="K265" s="41" t="n"/>
      <c r="L265" s="45" t="n"/>
      <c r="M265" s="46">
        <f>IF(K265="SL","Terecht",IF(K265="TP","Onterecht",""))</f>
        <v/>
      </c>
      <c r="N265" s="41" t="n"/>
    </row>
    <row r="266">
      <c r="B266" s="47" t="n"/>
      <c r="G266" s="48" t="n"/>
      <c r="H266" s="49" t="n"/>
      <c r="I266" s="49" t="n"/>
      <c r="J266" s="49" t="n"/>
      <c r="L266" s="50" t="n"/>
      <c r="M266" s="40">
        <f>IF(K266="SL","Terecht",IF(K266="TP","Onterecht",""))</f>
        <v/>
      </c>
    </row>
    <row r="267">
      <c r="A267" s="41" t="n"/>
      <c r="B267" s="42" t="n"/>
      <c r="C267" s="41" t="n"/>
      <c r="D267" s="41" t="n"/>
      <c r="E267" s="41" t="n"/>
      <c r="F267" s="41" t="n"/>
      <c r="G267" s="43" t="n"/>
      <c r="H267" s="44" t="n"/>
      <c r="I267" s="44" t="n"/>
      <c r="J267" s="44" t="n"/>
      <c r="K267" s="41" t="n"/>
      <c r="L267" s="45" t="n"/>
      <c r="M267" s="46">
        <f>IF(K267="SL","Terecht",IF(K267="TP","Onterecht",""))</f>
        <v/>
      </c>
      <c r="N267" s="41" t="n"/>
    </row>
    <row r="268">
      <c r="B268" s="47" t="n"/>
      <c r="G268" s="48" t="n"/>
      <c r="H268" s="49" t="n"/>
      <c r="I268" s="49" t="n"/>
      <c r="J268" s="49" t="n"/>
      <c r="L268" s="50" t="n"/>
      <c r="M268" s="40">
        <f>IF(K268="SL","Terecht",IF(K268="TP","Onterecht",""))</f>
        <v/>
      </c>
    </row>
    <row r="269">
      <c r="A269" s="41" t="n"/>
      <c r="B269" s="42" t="n"/>
      <c r="C269" s="41" t="n"/>
      <c r="D269" s="41" t="n"/>
      <c r="E269" s="41" t="n"/>
      <c r="F269" s="41" t="n"/>
      <c r="G269" s="43" t="n"/>
      <c r="H269" s="44" t="n"/>
      <c r="I269" s="44" t="n"/>
      <c r="J269" s="44" t="n"/>
      <c r="K269" s="41" t="n"/>
      <c r="L269" s="45" t="n"/>
      <c r="M269" s="46">
        <f>IF(K269="SL","Terecht",IF(K269="TP","Onterecht",""))</f>
        <v/>
      </c>
      <c r="N269" s="41" t="n"/>
    </row>
    <row r="270">
      <c r="B270" s="47" t="n"/>
      <c r="G270" s="48" t="n"/>
      <c r="H270" s="49" t="n"/>
      <c r="I270" s="49" t="n"/>
      <c r="J270" s="49" t="n"/>
      <c r="L270" s="50" t="n"/>
      <c r="M270" s="40">
        <f>IF(K270="SL","Terecht",IF(K270="TP","Onterecht",""))</f>
        <v/>
      </c>
    </row>
    <row r="271">
      <c r="A271" s="41" t="n"/>
      <c r="B271" s="42" t="n"/>
      <c r="C271" s="41" t="n"/>
      <c r="D271" s="41" t="n"/>
      <c r="E271" s="41" t="n"/>
      <c r="F271" s="41" t="n"/>
      <c r="G271" s="43" t="n"/>
      <c r="H271" s="44" t="n"/>
      <c r="I271" s="44" t="n"/>
      <c r="J271" s="44" t="n"/>
      <c r="K271" s="41" t="n"/>
      <c r="L271" s="45" t="n"/>
      <c r="M271" s="46">
        <f>IF(K271="SL","Terecht",IF(K271="TP","Onterecht",""))</f>
        <v/>
      </c>
      <c r="N271" s="41" t="n"/>
    </row>
    <row r="272">
      <c r="B272" s="47" t="n"/>
      <c r="G272" s="48" t="n"/>
      <c r="H272" s="49" t="n"/>
      <c r="I272" s="49" t="n"/>
      <c r="J272" s="49" t="n"/>
      <c r="L272" s="50" t="n"/>
      <c r="M272" s="40">
        <f>IF(K272="SL","Terecht",IF(K272="TP","Onterecht",""))</f>
        <v/>
      </c>
    </row>
    <row r="273">
      <c r="A273" s="41" t="n"/>
      <c r="B273" s="42" t="n"/>
      <c r="C273" s="41" t="n"/>
      <c r="D273" s="41" t="n"/>
      <c r="E273" s="41" t="n"/>
      <c r="F273" s="41" t="n"/>
      <c r="G273" s="43" t="n"/>
      <c r="H273" s="44" t="n"/>
      <c r="I273" s="44" t="n"/>
      <c r="J273" s="44" t="n"/>
      <c r="K273" s="41" t="n"/>
      <c r="L273" s="45" t="n"/>
      <c r="M273" s="46">
        <f>IF(K273="SL","Terecht",IF(K273="TP","Onterecht",""))</f>
        <v/>
      </c>
      <c r="N273" s="41" t="n"/>
    </row>
    <row r="274">
      <c r="B274" s="47" t="n"/>
      <c r="G274" s="48" t="n"/>
      <c r="H274" s="49" t="n"/>
      <c r="I274" s="49" t="n"/>
      <c r="J274" s="49" t="n"/>
      <c r="L274" s="50" t="n"/>
      <c r="M274" s="40">
        <f>IF(K274="SL","Terecht",IF(K274="TP","Onterecht",""))</f>
        <v/>
      </c>
    </row>
    <row r="275">
      <c r="A275" s="41" t="n"/>
      <c r="B275" s="42" t="n"/>
      <c r="C275" s="41" t="n"/>
      <c r="D275" s="41" t="n"/>
      <c r="E275" s="41" t="n"/>
      <c r="F275" s="41" t="n"/>
      <c r="G275" s="43" t="n"/>
      <c r="H275" s="44" t="n"/>
      <c r="I275" s="44" t="n"/>
      <c r="J275" s="44" t="n"/>
      <c r="K275" s="41" t="n"/>
      <c r="L275" s="45" t="n"/>
      <c r="M275" s="46">
        <f>IF(K275="SL","Terecht",IF(K275="TP","Onterecht",""))</f>
        <v/>
      </c>
      <c r="N275" s="41" t="n"/>
    </row>
    <row r="276">
      <c r="B276" s="47" t="n"/>
      <c r="G276" s="48" t="n"/>
      <c r="H276" s="49" t="n"/>
      <c r="I276" s="49" t="n"/>
      <c r="J276" s="49" t="n"/>
      <c r="L276" s="50" t="n"/>
      <c r="M276" s="40">
        <f>IF(K276="SL","Terecht",IF(K276="TP","Onterecht",""))</f>
        <v/>
      </c>
    </row>
    <row r="277">
      <c r="A277" s="41" t="n"/>
      <c r="B277" s="42" t="n"/>
      <c r="C277" s="41" t="n"/>
      <c r="D277" s="41" t="n"/>
      <c r="E277" s="41" t="n"/>
      <c r="F277" s="41" t="n"/>
      <c r="G277" s="43" t="n"/>
      <c r="H277" s="44" t="n"/>
      <c r="I277" s="44" t="n"/>
      <c r="J277" s="44" t="n"/>
      <c r="K277" s="41" t="n"/>
      <c r="L277" s="45" t="n"/>
      <c r="M277" s="46">
        <f>IF(K277="SL","Terecht",IF(K277="TP","Onterecht",""))</f>
        <v/>
      </c>
      <c r="N277" s="41" t="n"/>
    </row>
    <row r="278">
      <c r="B278" s="47" t="n"/>
      <c r="G278" s="48" t="n"/>
      <c r="H278" s="49" t="n"/>
      <c r="I278" s="49" t="n"/>
      <c r="J278" s="49" t="n"/>
      <c r="L278" s="50" t="n"/>
      <c r="M278" s="40">
        <f>IF(K278="SL","Terecht",IF(K278="TP","Onterecht",""))</f>
        <v/>
      </c>
    </row>
    <row r="279">
      <c r="A279" s="41" t="n"/>
      <c r="B279" s="42" t="n"/>
      <c r="C279" s="41" t="n"/>
      <c r="D279" s="41" t="n"/>
      <c r="E279" s="41" t="n"/>
      <c r="F279" s="41" t="n"/>
      <c r="G279" s="43" t="n"/>
      <c r="H279" s="44" t="n"/>
      <c r="I279" s="44" t="n"/>
      <c r="J279" s="44" t="n"/>
      <c r="K279" s="41" t="n"/>
      <c r="L279" s="45" t="n"/>
      <c r="M279" s="46">
        <f>IF(K279="SL","Terecht",IF(K279="TP","Onterecht",""))</f>
        <v/>
      </c>
      <c r="N279" s="41" t="n"/>
    </row>
    <row r="280">
      <c r="B280" s="47" t="n"/>
      <c r="G280" s="48" t="n"/>
      <c r="H280" s="49" t="n"/>
      <c r="I280" s="49" t="n"/>
      <c r="J280" s="49" t="n"/>
      <c r="L280" s="50" t="n"/>
      <c r="M280" s="40">
        <f>IF(K280="SL","Terecht",IF(K280="TP","Onterecht",""))</f>
        <v/>
      </c>
    </row>
    <row r="281">
      <c r="A281" s="41" t="n"/>
      <c r="B281" s="42" t="n"/>
      <c r="C281" s="41" t="n"/>
      <c r="D281" s="41" t="n"/>
      <c r="E281" s="41" t="n"/>
      <c r="F281" s="41" t="n"/>
      <c r="G281" s="43" t="n"/>
      <c r="H281" s="44" t="n"/>
      <c r="I281" s="44" t="n"/>
      <c r="J281" s="44" t="n"/>
      <c r="K281" s="41" t="n"/>
      <c r="L281" s="45" t="n"/>
      <c r="M281" s="46">
        <f>IF(K281="SL","Terecht",IF(K281="TP","Onterecht",""))</f>
        <v/>
      </c>
      <c r="N281" s="41" t="n"/>
    </row>
    <row r="282">
      <c r="B282" s="47" t="n"/>
      <c r="G282" s="48" t="n"/>
      <c r="H282" s="49" t="n"/>
      <c r="I282" s="49" t="n"/>
      <c r="J282" s="49" t="n"/>
      <c r="L282" s="50" t="n"/>
      <c r="M282" s="40">
        <f>IF(K282="SL","Terecht",IF(K282="TP","Onterecht",""))</f>
        <v/>
      </c>
    </row>
    <row r="283">
      <c r="A283" s="41" t="n"/>
      <c r="B283" s="42" t="n"/>
      <c r="C283" s="41" t="n"/>
      <c r="D283" s="41" t="n"/>
      <c r="E283" s="41" t="n"/>
      <c r="F283" s="41" t="n"/>
      <c r="G283" s="43" t="n"/>
      <c r="H283" s="44" t="n"/>
      <c r="I283" s="44" t="n"/>
      <c r="J283" s="44" t="n"/>
      <c r="K283" s="41" t="n"/>
      <c r="L283" s="45" t="n"/>
      <c r="M283" s="46">
        <f>IF(K283="SL","Terecht",IF(K283="TP","Onterecht",""))</f>
        <v/>
      </c>
      <c r="N283" s="41" t="n"/>
    </row>
    <row r="284">
      <c r="B284" s="47" t="n"/>
      <c r="G284" s="48" t="n"/>
      <c r="H284" s="49" t="n"/>
      <c r="I284" s="49" t="n"/>
      <c r="J284" s="49" t="n"/>
      <c r="L284" s="50" t="n"/>
      <c r="M284" s="40">
        <f>IF(K284="SL","Terecht",IF(K284="TP","Onterecht",""))</f>
        <v/>
      </c>
    </row>
    <row r="285">
      <c r="A285" s="41" t="n"/>
      <c r="B285" s="42" t="n"/>
      <c r="C285" s="41" t="n"/>
      <c r="D285" s="41" t="n"/>
      <c r="E285" s="41" t="n"/>
      <c r="F285" s="41" t="n"/>
      <c r="G285" s="43" t="n"/>
      <c r="H285" s="44" t="n"/>
      <c r="I285" s="44" t="n"/>
      <c r="J285" s="44" t="n"/>
      <c r="K285" s="41" t="n"/>
      <c r="L285" s="45" t="n"/>
      <c r="M285" s="46">
        <f>IF(K285="SL","Terecht",IF(K285="TP","Onterecht",""))</f>
        <v/>
      </c>
      <c r="N285" s="41" t="n"/>
    </row>
    <row r="286">
      <c r="B286" s="47" t="n"/>
      <c r="G286" s="48" t="n"/>
      <c r="H286" s="49" t="n"/>
      <c r="I286" s="49" t="n"/>
      <c r="J286" s="49" t="n"/>
      <c r="L286" s="50" t="n"/>
      <c r="M286" s="40">
        <f>IF(K286="SL","Terecht",IF(K286="TP","Onterecht",""))</f>
        <v/>
      </c>
    </row>
    <row r="287">
      <c r="A287" s="41" t="n"/>
      <c r="B287" s="42" t="n"/>
      <c r="C287" s="41" t="n"/>
      <c r="D287" s="41" t="n"/>
      <c r="E287" s="41" t="n"/>
      <c r="F287" s="41" t="n"/>
      <c r="G287" s="43" t="n"/>
      <c r="H287" s="44" t="n"/>
      <c r="I287" s="44" t="n"/>
      <c r="J287" s="44" t="n"/>
      <c r="K287" s="41" t="n"/>
      <c r="L287" s="45" t="n"/>
      <c r="M287" s="46">
        <f>IF(K287="SL","Terecht",IF(K287="TP","Onterecht",""))</f>
        <v/>
      </c>
      <c r="N287" s="41" t="n"/>
    </row>
    <row r="288">
      <c r="B288" s="47" t="n"/>
      <c r="G288" s="48" t="n"/>
      <c r="H288" s="49" t="n"/>
      <c r="I288" s="49" t="n"/>
      <c r="J288" s="49" t="n"/>
      <c r="L288" s="50" t="n"/>
      <c r="M288" s="40">
        <f>IF(K288="SL","Terecht",IF(K288="TP","Onterecht",""))</f>
        <v/>
      </c>
    </row>
    <row r="289">
      <c r="A289" s="41" t="n"/>
      <c r="B289" s="42" t="n"/>
      <c r="C289" s="41" t="n"/>
      <c r="D289" s="41" t="n"/>
      <c r="E289" s="41" t="n"/>
      <c r="F289" s="41" t="n"/>
      <c r="G289" s="43" t="n"/>
      <c r="H289" s="44" t="n"/>
      <c r="I289" s="44" t="n"/>
      <c r="J289" s="44" t="n"/>
      <c r="K289" s="41" t="n"/>
      <c r="L289" s="45" t="n"/>
      <c r="M289" s="46">
        <f>IF(K289="SL","Terecht",IF(K289="TP","Onterecht",""))</f>
        <v/>
      </c>
      <c r="N289" s="41" t="n"/>
    </row>
    <row r="290">
      <c r="B290" s="47" t="n"/>
      <c r="G290" s="48" t="n"/>
      <c r="H290" s="49" t="n"/>
      <c r="I290" s="49" t="n"/>
      <c r="J290" s="49" t="n"/>
      <c r="L290" s="50" t="n"/>
      <c r="M290" s="40">
        <f>IF(K290="SL","Terecht",IF(K290="TP","Onterecht",""))</f>
        <v/>
      </c>
    </row>
    <row r="291">
      <c r="A291" s="41" t="n"/>
      <c r="B291" s="42" t="n"/>
      <c r="C291" s="41" t="n"/>
      <c r="D291" s="41" t="n"/>
      <c r="E291" s="41" t="n"/>
      <c r="F291" s="41" t="n"/>
      <c r="G291" s="43" t="n"/>
      <c r="H291" s="44" t="n"/>
      <c r="I291" s="44" t="n"/>
      <c r="J291" s="44" t="n"/>
      <c r="K291" s="41" t="n"/>
      <c r="L291" s="45" t="n"/>
      <c r="M291" s="46">
        <f>IF(K291="SL","Terecht",IF(K291="TP","Onterecht",""))</f>
        <v/>
      </c>
      <c r="N291" s="41" t="n"/>
    </row>
    <row r="292">
      <c r="B292" s="47" t="n"/>
      <c r="G292" s="48" t="n"/>
      <c r="H292" s="49" t="n"/>
      <c r="I292" s="49" t="n"/>
      <c r="J292" s="49" t="n"/>
      <c r="L292" s="50" t="n"/>
      <c r="M292" s="40">
        <f>IF(K292="SL","Terecht",IF(K292="TP","Onterecht",""))</f>
        <v/>
      </c>
    </row>
    <row r="293">
      <c r="A293" s="41" t="n"/>
      <c r="B293" s="42" t="n"/>
      <c r="C293" s="41" t="n"/>
      <c r="D293" s="41" t="n"/>
      <c r="E293" s="41" t="n"/>
      <c r="F293" s="41" t="n"/>
      <c r="G293" s="43" t="n"/>
      <c r="H293" s="44" t="n"/>
      <c r="I293" s="44" t="n"/>
      <c r="J293" s="44" t="n"/>
      <c r="K293" s="41" t="n"/>
      <c r="L293" s="45" t="n"/>
      <c r="M293" s="46">
        <f>IF(K293="SL","Terecht",IF(K293="TP","Onterecht",""))</f>
        <v/>
      </c>
      <c r="N293" s="41" t="n"/>
    </row>
    <row r="294">
      <c r="B294" s="47" t="n"/>
      <c r="G294" s="48" t="n"/>
      <c r="H294" s="49" t="n"/>
      <c r="I294" s="49" t="n"/>
      <c r="J294" s="49" t="n"/>
      <c r="L294" s="50" t="n"/>
      <c r="M294" s="40">
        <f>IF(K294="SL","Terecht",IF(K294="TP","Onterecht",""))</f>
        <v/>
      </c>
    </row>
    <row r="295">
      <c r="A295" s="41" t="n"/>
      <c r="B295" s="42" t="n"/>
      <c r="C295" s="41" t="n"/>
      <c r="D295" s="41" t="n"/>
      <c r="E295" s="41" t="n"/>
      <c r="F295" s="41" t="n"/>
      <c r="G295" s="43" t="n"/>
      <c r="H295" s="44" t="n"/>
      <c r="I295" s="44" t="n"/>
      <c r="J295" s="44" t="n"/>
      <c r="K295" s="41" t="n"/>
      <c r="L295" s="45" t="n"/>
      <c r="M295" s="46">
        <f>IF(K295="SL","Terecht",IF(K295="TP","Onterecht",""))</f>
        <v/>
      </c>
      <c r="N295" s="41" t="n"/>
    </row>
    <row r="296">
      <c r="B296" s="47" t="n"/>
      <c r="G296" s="48" t="n"/>
      <c r="H296" s="49" t="n"/>
      <c r="I296" s="49" t="n"/>
      <c r="J296" s="49" t="n"/>
      <c r="L296" s="50" t="n"/>
      <c r="M296" s="40">
        <f>IF(K296="SL","Terecht",IF(K296="TP","Onterecht",""))</f>
        <v/>
      </c>
    </row>
    <row r="297">
      <c r="A297" s="41" t="n"/>
      <c r="B297" s="42" t="n"/>
      <c r="C297" s="41" t="n"/>
      <c r="D297" s="41" t="n"/>
      <c r="E297" s="41" t="n"/>
      <c r="F297" s="41" t="n"/>
      <c r="G297" s="43" t="n"/>
      <c r="H297" s="44" t="n"/>
      <c r="I297" s="44" t="n"/>
      <c r="J297" s="44" t="n"/>
      <c r="K297" s="41" t="n"/>
      <c r="L297" s="45" t="n"/>
      <c r="M297" s="46">
        <f>IF(K297="SL","Terecht",IF(K297="TP","Onterecht",""))</f>
        <v/>
      </c>
      <c r="N297" s="41" t="n"/>
    </row>
    <row r="298">
      <c r="B298" s="47" t="n"/>
      <c r="G298" s="48" t="n"/>
      <c r="H298" s="49" t="n"/>
      <c r="I298" s="49" t="n"/>
      <c r="J298" s="49" t="n"/>
      <c r="L298" s="50" t="n"/>
      <c r="M298" s="40">
        <f>IF(K298="SL","Terecht",IF(K298="TP","Onterecht",""))</f>
        <v/>
      </c>
    </row>
    <row r="299">
      <c r="A299" s="41" t="n"/>
      <c r="B299" s="42" t="n"/>
      <c r="C299" s="41" t="n"/>
      <c r="D299" s="41" t="n"/>
      <c r="E299" s="41" t="n"/>
      <c r="F299" s="41" t="n"/>
      <c r="G299" s="43" t="n"/>
      <c r="H299" s="44" t="n"/>
      <c r="I299" s="44" t="n"/>
      <c r="J299" s="44" t="n"/>
      <c r="K299" s="41" t="n"/>
      <c r="L299" s="45" t="n"/>
      <c r="M299" s="46">
        <f>IF(K299="SL","Terecht",IF(K299="TP","Onterecht",""))</f>
        <v/>
      </c>
      <c r="N299" s="41" t="n"/>
    </row>
    <row r="300">
      <c r="B300" s="47" t="n"/>
      <c r="G300" s="48" t="n"/>
      <c r="H300" s="49" t="n"/>
      <c r="I300" s="49" t="n"/>
      <c r="J300" s="49" t="n"/>
      <c r="L300" s="50" t="n"/>
      <c r="M300" s="40">
        <f>IF(K300="SL","Terecht",IF(K300="TP","Onterecht",""))</f>
        <v/>
      </c>
    </row>
  </sheetData>
  <dataValidations count="2">
    <dataValidation sqref="K2:K300" showDropDown="0" showInputMessage="0" showErrorMessage="0" allowBlank="1" type="list">
      <formula1>=Settings!$B$2:$B$4</formula1>
    </dataValidation>
    <dataValidation sqref="E2:E300" showDropDown="0" showInputMessage="0" showErrorMessage="0" allowBlank="1" type="list">
      <formula1>=Settings!$C$2:$C$6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2026-07-19T08:27:23Z</dcterms:created>
  <dcterms:modified xmlns:dcterms="http://purl.org/dc/terms/" xmlns:xsi="http://www.w3.org/2001/XMLSchema-instance" xsi:type="dcterms:W3CDTF">2026-07-19T08:27:24Z</dcterms:modified>
</cp:coreProperties>
</file>